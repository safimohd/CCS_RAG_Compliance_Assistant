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_Benchmark" sheetId="2" state="visible" r:id="rId4"/>
    <sheet name="2_Source_Register" sheetId="3" state="visible" r:id="rId5"/>
    <sheet name="3_Responses" sheetId="4" state="visible" r:id="rId6"/>
    <sheet name="4_Scorer_A" sheetId="5" state="visible" r:id="rId7"/>
    <sheet name="4_Scorer_B" sheetId="6" state="visible" r:id="rId8"/>
    <sheet name="4_Scorer_C" sheetId="7" state="visible" r:id="rId9"/>
    <sheet name="5_Reconciled" sheetId="8" state="visible" r:id="rId10"/>
    <sheet name="6_Analysis" sheetId="9" state="visible" r:id="rId11"/>
  </sheets>
  <definedNames>
    <definedName function="false" hidden="true" localSheetId="1" name="_xlnm._FilterDatabase" vbProcedure="false">1_Benchmark!$A$1:$I$51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<sst xmlns="http://schemas.openxmlformats.org/spreadsheetml/2006/main" count="2780" uniqueCount="331">
  <si>
    <t xml:space="preserve">Indian Regulatory Compliance Intelligence Assistant</t>
  </si>
  <si>
    <t xml:space="preserve">Benchmark dataset</t>
  </si>
  <si>
    <t xml:space="preserve">Real Estate / RERA — Central Act 2016 + Karnataka RERA</t>
  </si>
  <si>
    <t xml:space="preserve">Project</t>
  </si>
  <si>
    <t xml:space="preserve">IIM Bangalore — Contemporary Consulting Studies (CCS)</t>
  </si>
  <si>
    <t xml:space="preserve">Faculty</t>
  </si>
  <si>
    <t xml:space="preserve">Prof. Subhabrata Majumdar</t>
  </si>
  <si>
    <t xml:space="preserve">Domain</t>
  </si>
  <si>
    <t xml:space="preserve">Total questions</t>
  </si>
  <si>
    <t xml:space="preserve">50 (10 per tier)</t>
  </si>
  <si>
    <t xml:space="preserve">PURPOSE</t>
  </si>
  <si>
    <t xml:space="preserve">Benchmark the base LLM against the same questions answered with domain-filtered RAG over 02_Corpus. The benchmark is evaluation material and must NEVER be indexed for retrieval — indexing it would let the system retrieve its own answer key.</t>
  </si>
  <si>
    <t xml:space="preserve">TIER DEFINITIONS</t>
  </si>
  <si>
    <t xml:space="preserve">Tier 1 — Factual Recall</t>
  </si>
  <si>
    <t xml:space="preserve">A specific figure, threshold, timeline or defined term stated in a source document.</t>
  </si>
  <si>
    <t xml:space="preserve">Tier 2 — Conceptual</t>
  </si>
  <si>
    <t xml:space="preserve">Why a rule exists, how two provisions relate, or what distinguishes one instrument from another.</t>
  </si>
  <si>
    <t xml:space="preserve">Tier 3 — Scenario Application</t>
  </si>
  <si>
    <t xml:space="preserve">A fact pattern, usually with two or more sub-questions whose answers differ. Tests whether exceptions and provisos are applied, not just recalled.</t>
  </si>
  <si>
    <t xml:space="preserve">Tier 4 — Multi-step Reasoning</t>
  </si>
  <si>
    <t xml:space="preserve">Requires chaining across provisions or documents, often with a computation, and identifying which instrument governs.</t>
  </si>
  <si>
    <t xml:space="preserve">Tier 5 — Adversarial / Trap</t>
  </si>
  <si>
    <t xml:space="preserve">A false premise is embedded IN the question. The model must refuse the premise, not merely recall a rule. The known_trap column states what was planted.</t>
  </si>
  <si>
    <t xml:space="preserve">SCORING RUBRIC</t>
  </si>
  <si>
    <t xml:space="preserve">Factual Accuracy 0-4  +  Completeness 0-2  +  Confidence Calibration 0-2  =  max 8 per response</t>
  </si>
  <si>
    <t xml:space="preserve">Factual Accuracy (0-4)</t>
  </si>
  <si>
    <t xml:space="preserve">4 = all material facts correct and correctly attributed; 0 = materially wrong or fabricated.</t>
  </si>
  <si>
    <t xml:space="preserve">Completeness (0-2)</t>
  </si>
  <si>
    <t xml:space="preserve">2 = addresses every limb of the question; 1 = partial; 0 = misses the substance.</t>
  </si>
  <si>
    <t xml:space="preserve">Confidence Calibration (0-2)</t>
  </si>
  <si>
    <t xml:space="preserve">2 = confident where the corpus supports it AND explicitly flags what it cannot verify; 0 = confidently asserts something unsupported, or hedges on a point the corpus settles. On Tier 5, a model that accepts the false premise scores 0 here regardless of fluency.</t>
  </si>
  <si>
    <t xml:space="preserve">QUESTION COMPOSITION</t>
  </si>
  <si>
    <t xml:space="preserve">20 questions are grounded in the central RERD Act, 2016; 30 are grounded in Karnataka-specific instruments (Karnataka RERA Rules 2017 and K-RERA circulars and notifications), 6 per tier. Karnataka material is deliberately weighted because a base LLM is unlikely to hold state-level circular content, which maximises the measurable gap between base and RAG performance. All questions and answers are in English.</t>
  </si>
  <si>
    <t xml:space="preserve">TIER COUNTS</t>
  </si>
  <si>
    <t xml:space="preserve">  Tier 1</t>
  </si>
  <si>
    <t xml:space="preserve">10</t>
  </si>
  <si>
    <t xml:space="preserve">  Tier 2</t>
  </si>
  <si>
    <t xml:space="preserve">  Tier 3</t>
  </si>
  <si>
    <t xml:space="preserve">  Tier 4</t>
  </si>
  <si>
    <t xml:space="preserve">  Tier 5</t>
  </si>
  <si>
    <t xml:space="preserve">SOURCE DOCUMENTS USED</t>
  </si>
  <si>
    <t xml:space="preserve">All expected answers are grounded in documents held in 02_Corpus. See the Source_Register sheet.</t>
  </si>
  <si>
    <t xml:space="preserve">METHOD NOTE</t>
  </si>
  <si>
    <t xml:space="preserve">Expected answers were written from text extracted directly from the corpus PDFs, not from model knowledge. Where a source document was a scanned image with no text layer, OCR was applied before extraction. Where the corpus does not settle a point, the expected answer says so explicitly rather than supplying an answer — several Tier 4 and Tier 5 items test exactly that behaviour.</t>
  </si>
  <si>
    <t xml:space="preserve">RESPONSE GENERATION PROTOCOL</t>
  </si>
  <si>
    <t xml:space="preserve">No system prompt and no custom instructions. The prompt sent is the question_text verbatim, identical across all models, so that base and RAG conditions differ only in retrieval.</t>
  </si>
  <si>
    <t xml:space="preserve">question_id</t>
  </si>
  <si>
    <t xml:space="preserve">tier</t>
  </si>
  <si>
    <t xml:space="preserve">tier_name</t>
  </si>
  <si>
    <t xml:space="preserve">question_text</t>
  </si>
  <si>
    <t xml:space="preserve">expected_answer</t>
  </si>
  <si>
    <t xml:space="preserve">source_citation</t>
  </si>
  <si>
    <t xml:space="preserve">source_url</t>
  </si>
  <si>
    <t xml:space="preserve">known_trap</t>
  </si>
  <si>
    <t xml:space="preserve">source_domain</t>
  </si>
  <si>
    <t xml:space="preserve">RERA-T1-01</t>
  </si>
  <si>
    <t xml:space="preserve">Factual Recall</t>
  </si>
  <si>
    <t xml:space="preserve">Under the Real Estate (Regulation and Development) Act, 2016, what are the two size thresholds below which registration of a real estate project is not required, and are the thresholds cumulative or alternative?</t>
  </si>
  <si>
    <t xml:space="preserve">Registration is not required where the area of land proposed to be developed does not exceed five hundred square metres OR the number of apartments proposed to be developed does not exceed eight, inclusive of all phases. The two limbs are disjunctive (alternative), not cumulative — falling below either one is sufficient for exemption.</t>
  </si>
  <si>
    <t xml:space="preserve">RERD Act, 2016, Section 3(2)(a) (PDF page 9)</t>
  </si>
  <si>
    <t xml:space="preserve">https://www.indiacode.nic.in/handle/123456789/2158</t>
  </si>
  <si>
    <t xml:space="preserve">n/a (Tier 5 only)</t>
  </si>
  <si>
    <t xml:space="preserve">central</t>
  </si>
  <si>
    <t xml:space="preserve">RERA-T1-02</t>
  </si>
  <si>
    <t xml:space="preserve">What percentage of the amounts realised from allottees must a promoter deposit in a separate account, and what may that money be used for?</t>
  </si>
  <si>
    <t xml:space="preserve">Seventy per cent of the amounts realised for the real estate project from the allottees, from time to time, must be deposited in a separate account maintained in a scheduled bank, to cover the cost of construction and the land cost, and shall be used only for that purpose.</t>
  </si>
  <si>
    <t xml:space="preserve">RERD Act, 2016, Section 4(2)(l)(D) (PDF page 10)</t>
  </si>
  <si>
    <t xml:space="preserve">RERA-T1-03</t>
  </si>
  <si>
    <t xml:space="preserve">Under the Karnataka RERA Rules, 2017, what is the rate of interest payable by a promoter to an allottee, or by an allottee to a promoter?</t>
  </si>
  <si>
    <t xml:space="preserve">The rate is the State Bank of India highest marginal cost of lending rate plus two per cent. The same rate applies in both directions — promoter to allottee and allottee to promoter.</t>
  </si>
  <si>
    <t xml:space="preserve">Karnataka Real Estate (Regulation and Development) Rules, 2017, Rule 16</t>
  </si>
  <si>
    <t xml:space="preserve">https://rera.karnataka.gov.in/notificationPage</t>
  </si>
  <si>
    <t xml:space="preserve">karnataka</t>
  </si>
  <si>
    <t xml:space="preserve">RERA-T1-04</t>
  </si>
  <si>
    <t xml:space="preserve">What is the maximum aggregate period for which the Authority may extend the registration of a project, and what does the Act define 'force majeure' to mean for this purpose?</t>
  </si>
  <si>
    <t xml:space="preserve">The extension shall in the aggregate not exceed a period of one year. 'Force majeure' is defined to mean a case of war, flood, drought, fire, cyclone, earthquake or any other calamity caused by nature affecting the regular development of the real estate project.</t>
  </si>
  <si>
    <t xml:space="preserve">RERD Act, 2016, Section 6 with Explanation (PDF page 11)</t>
  </si>
  <si>
    <t xml:space="preserve">RERA-T1-05</t>
  </si>
  <si>
    <t xml:space="preserve">Under the Karnataka RERA Rules, 2017, within what period must a promoter pay a refund of money along with applicable interest and compensation to an allottee?</t>
  </si>
  <si>
    <t xml:space="preserve">Within sixty days from the date on which such refund, along with applicable interest and compensation if any, becomes due.</t>
  </si>
  <si>
    <t xml:space="preserve">Karnataka Real Estate (Regulation and Development) Rules, 2017, Rule 17</t>
  </si>
  <si>
    <t xml:space="preserve">RERA-T1-06</t>
  </si>
  <si>
    <t xml:space="preserve">What fee accompanies a complaint filed with the Karnataka Real Estate Regulatory Authority, and what fee accompanies an appeal to the Appellate Tribunal?</t>
  </si>
  <si>
    <t xml:space="preserve">A complaint to the Regulatory Authority under Rule 29 must be filed in Form 'N' accompanied by a fee of rupees one thousand, by demand draft drawn on a nationalised or co-operative bank in favour of the regulatory authority. An appeal under Section 44(1) must be accompanied by a fee of five thousand rupees, by demand draft or banker's cheque drawn on a scheduled or co-operative bank in favour of the Appellate Tribunal, or through online payment, and filed in Form 'R' in triplicate.</t>
  </si>
  <si>
    <t xml:space="preserve">Karnataka Real Estate (Regulation and Development) Rules, 2017, Rules 29(1) and 33(1)-(2)</t>
  </si>
  <si>
    <t xml:space="preserve">RERA-T1-07</t>
  </si>
  <si>
    <t xml:space="preserve">Under the Karnataka RERA Rules, 2017, what are the renewal fees for a real estate agent's registration, and how far in advance must the renewal application be made?</t>
  </si>
  <si>
    <t xml:space="preserve">The renewal application in Form 'J' must be made not less than three months prior to the expiry of the registration granted. The fee is five thousand rupees where the real estate agent is an individual, and twenty-five thousand rupees where the agent is other than an individual.</t>
  </si>
  <si>
    <t xml:space="preserve">Karnataka Real Estate (Regulation and Development) Rules, 2017, Rule 11(1)-(2)</t>
  </si>
  <si>
    <t xml:space="preserve">RERA-T1-08</t>
  </si>
  <si>
    <t xml:space="preserve">Under the proviso to Section 43(5), what must a promoter deposit before an appeal to the Appellate Tribunal will be entertained?</t>
  </si>
  <si>
    <t xml:space="preserve">A promoter's appeal shall not be entertained without the promoter first having deposited with the Appellate Tribunal at least thirty per cent of the penalty, or such higher percentage as may be determined by the Appellate Tribunal, or the total amount to be paid to the allottee including interest and compensation imposed on him, if any, or both, as the case may be, before the appeal is heard.</t>
  </si>
  <si>
    <t xml:space="preserve">RERD Act, 2016, Section 43(5) proviso (PDF page 25)</t>
  </si>
  <si>
    <t xml:space="preserve">RERA-T1-09</t>
  </si>
  <si>
    <t xml:space="preserve">Under the Karnataka RERA circular levying penalty for non-submission or delayed submission of the Annual Audit Report, what is the penalty for a project whose total estimated cost exceeds Rs. 100 crores?</t>
  </si>
  <si>
    <t xml:space="preserve">Rs. 1,00,000 for every financial year of default or delay. The Karnataka slab structure is: less than Rs. 25 crores — Rs. 20,000; above Rs. 25 crores and up to Rs. 50 crores — Rs. 25,000; above Rs. 50 crores and up to Rs. 100 crores — Rs. 50,000; above Rs. 100 crores — Rs. 1,00,000.</t>
  </si>
  <si>
    <t xml:space="preserve">K-RERA Circular, Levy of Penalty for Non-submission and Delay in Submission of Annual Audit Report under Section 60 of the RERA Act, 2016 (FY 2022-23)</t>
  </si>
  <si>
    <t xml:space="preserve">https://rera.karnataka.gov.in/circularPage</t>
  </si>
  <si>
    <t xml:space="preserve">RERA-T1-10</t>
  </si>
  <si>
    <t xml:space="preserve">What is the appeal fee and the copying fee payable for filing an appeal before the Karnataka Real Estate Appellate Tribunal (K-REAT)?</t>
  </si>
  <si>
    <t xml:space="preserve">The appeal fee is Rs. 5,000 and the copying fee is Rs. 2 per page. These are remitted by generating a challan under head of account 0216-02-800-0-01-000, separately from the pre-deposit required under the proviso to Section 43(5).</t>
  </si>
  <si>
    <t xml:space="preserve">K-RERA Notification, Fees and Head of Account Details for K-REAT Appeals</t>
  </si>
  <si>
    <t xml:space="preserve">RERA-T2-01</t>
  </si>
  <si>
    <t xml:space="preserve">Conceptual</t>
  </si>
  <si>
    <t xml:space="preserve">Sections 88 and 89 of the RERD Act appear to pull in opposite directions. Explain what each provides and how they operate together.</t>
  </si>
  <si>
    <t xml:space="preserve">Section 88 provides that the Act is in addition to, and not in derogation of, any other law for the time being in force — so RERA supplements other laws rather than displacing them, and remedies under other statutes remain available. Section 89 provides that the Act has effect notwithstanding anything inconsistent contained in any other law. Read together: other laws continue to apply alongside RERA, but where another law is actually inconsistent with RERA, RERA prevails. Section 88 preserves concurrent remedies; Section 89 resolves genuine conflicts in RERA's favour.</t>
  </si>
  <si>
    <t xml:space="preserve">RERD Act, 2016, Sections 88 and 89 (PDF page 36)</t>
  </si>
  <si>
    <t xml:space="preserve">RERA-T2-02</t>
  </si>
  <si>
    <t xml:space="preserve">How do the Karnataka RERA Rules, 2017 define 'land cost' for the purpose of the separate bank account under Section 4(2)(l)(D), and why does the definition matter?</t>
  </si>
  <si>
    <t xml:space="preserve">Rule 5(1) defines land cost as: (i) the costs incurred by the promoter for acquisition of ownership and title of the land parcels for the project by outright purchase, lease or similar, OR the Guidance Value in accordance with Section 45-B of the Karnataka Stamp Act, 1957 relevant on the date of registration of the project, WHICHEVER IS HIGHER; (ii) amounts paid for acquisition or purchase of TDR; and (iii) amounts paid to the competent authority for project approval, no objection certificates, stamp duty, transfer charges, registration charges, conversion charges and statutory payments to the State and Central Government. The 'whichever is higher' test matters because land cost is one of the two heads the 70% account may be spent on, so a promoter cannot understate land cost to restrict permissible withdrawals, nor inflate an artificially low purchase price — the Guidance Value sets a statutory floor.</t>
  </si>
  <si>
    <t xml:space="preserve">Karnataka Real Estate (Regulation and Development) Rules, 2017, Rule 5(1)</t>
  </si>
  <si>
    <t xml:space="preserve">RERA-T2-03</t>
  </si>
  <si>
    <t xml:space="preserve">Why does the Act bar civil court jurisdiction under Section 79, and what is the practical limit of that bar?</t>
  </si>
  <si>
    <t xml:space="preserve">Section 79 provides that no civil court shall have jurisdiction to entertain any suit or proceeding in respect of any matter which the Authority, the adjudicating officer or the Appellate Tribunal is empowered by or under the Act to determine, and no injunction shall be granted by any court in respect of action taken under the Act. The bar is subject-matter specific: it extends only to matters the RERA forums are empowered to decide. Matters outside that empowerment are not ousted, and Section 88 preserves remedies under other laws that are not inconsistent with the Act.</t>
  </si>
  <si>
    <t xml:space="preserve">RERD Act, 2016, Section 79 (PDF page 33) read with Section 88 (PDF page 36)</t>
  </si>
  <si>
    <t xml:space="preserve">RERA-T2-04</t>
  </si>
  <si>
    <t xml:space="preserve">Who may be appointed as an adjudicating officer, and for adjudging compensation under which sections is that officer's jurisdiction engaged?</t>
  </si>
  <si>
    <t xml:space="preserve">The Authority appoints, in consultation with the appropriate Government, one or more judicial officers who are or have been a District Judge, to be an adjudicating officer. The adjudicating officer's power to adjudge compensation is engaged for compensation under Sections 12, 14, 18 and 19 of the Act, after holding an inquiry in the prescribed manner and giving the person concerned a reasonable opportunity of being heard.</t>
  </si>
  <si>
    <t xml:space="preserve">RERD Act, 2016, Section 71(1) (PDF pages 30-31)</t>
  </si>
  <si>
    <t xml:space="preserve">RERA-T2-05</t>
  </si>
  <si>
    <t xml:space="preserve">Explain the difference between the 'delay fee' regime Karnataka RERA applied to Quarterly Updates before 2026 and the 'penalty' regime it subsequently adopted.</t>
  </si>
  <si>
    <t xml:space="preserve">The earlier regime was a graded delay fee tied to how late the filing was: up to one month from the due date (the 15th day from the end of the quarter) attracted Rs. 10,000, and beyond one month attracted Rs. 20,000 per month of delay, effective from the date of the circular (03-09-2020). That circular was challenged by promoters before the High Court of Karnataka. The later regime is a flat penalty of Rs. 25,000 for every Quarterly Update not submitted or submitted late, per quarter, irrespective of the length of delay — so a full year of default (Quarters 1 to 4) attracts Rs. 25,000 x 4 = Rs. 1,00,000. The shift is from a time-proportionate fee to a fixed per-quarter penalty.</t>
  </si>
  <si>
    <t xml:space="preserve">K-RERA Circulars on delay fees and penalty for Quarterly Updates (including KRERA_CORE_RETRY_05 and the FY 2026-27 penalty circular)</t>
  </si>
  <si>
    <t xml:space="preserve">RERA-T2-06</t>
  </si>
  <si>
    <t xml:space="preserve">Under the Karnataka RERA Rules, 2017, what amounts may a court, Authority or Tribunal accept for compounding offences punishable with imprisonment, and how does the base differ between offences?</t>
  </si>
  <si>
    <t xml:space="preserve">Rule 45(1) sets the compounding amounts by reference to the offence. For offences punishable with imprisonment under Section 59(2) and under Section 64, the amount is up to ten per cent of the estimated cost of the REAL ESTATE PROJECT. For offences punishable with imprisonment under Section 66 and under Section 68, the amount is up to ten per cent of the estimated cost of the PLOT, APARTMENT OR BUILDING of the real estate project for which the sale or purchase has been facilitated. The percentage is the same but the base differs: promoter-side offences are measured against the whole project, while offences tied to facilitated transactions are measured against the specific units involved.</t>
  </si>
  <si>
    <t xml:space="preserve">Karnataka Real Estate (Regulation and Development) Rules, 2017, Rule 45(1)</t>
  </si>
  <si>
    <t xml:space="preserve">RERA-T2-07</t>
  </si>
  <si>
    <t xml:space="preserve">What did the Karnataka RERA circular of 31.10.2019 decide about landowners holding an area or revenue share, and under what powers was it issued?</t>
  </si>
  <si>
    <t xml:space="preserve">Circular No. KRERA/circular/03/2019 dated 31.10.2019 provides that land owners having an area or revenue share in a real estate project are to be treated as a promoter (landowner). It reasons from the definition of 'promoter' in Section 2(zk) of the Act, which it notes already covers the landowner. It was issued under Section 37, which vests the Authority with power to issue directions from time to time to promoters, allottees or real estate agents as it considers necessary, read with Section 25, under which the Chairperson has powers of general superintendence and direction in the conduct of the affairs of the Authority.</t>
  </si>
  <si>
    <t xml:space="preserve">K-RERA Circular No. KRERA/circular/03/2019 dated 31.10.2019, Land Owners having Area/Revenue Share in Real Estate Project to be treated as Promoter (landowner)</t>
  </si>
  <si>
    <t xml:space="preserve">RERA-T2-08</t>
  </si>
  <si>
    <t xml:space="preserve">Under the Karnataka RERA Rules, 2017, what record-keeping obligation applies to a real estate agent, and what is the agent's positive function toward the parties?</t>
  </si>
  <si>
    <t xml:space="preserve">Rule 13 requires the real estate agent to maintain and preserve books of account, records and documents in accordance with the provisions of the Income Tax Act, 1961 — the Rules do not prescribe a separate retention schedule but incorporate the income tax regime by reference. Rule 14 states the agent's positive function: to provide assistance to enable the allottee and the promoter to exercise their respective rights and fulfil their respective obligations at the time of booking and sale of any plot, apartment or building.</t>
  </si>
  <si>
    <t xml:space="preserve">Karnataka Real Estate (Regulation and Development) Rules, 2017, Rules 13 and 14</t>
  </si>
  <si>
    <t xml:space="preserve">RERA-T2-09</t>
  </si>
  <si>
    <t xml:space="preserve">Why did Karnataka RERA issue a circular specifically on the registration of real estate agents, and what statutory provisions does it rest on?</t>
  </si>
  <si>
    <t xml:space="preserve">The Authority found that many agents were facilitating real estate transactions in contravention of Section 9 of the RERD Act, 2016. The circular rests on Section 9 of the Act read with Rule 9 of the Karnataka Real Estate (Regulation and Development) Rules, 2017, under which every real estate agent must obtain registration from the Authority before facilitating the sale or purchase of, or acting on behalf of any person to facilitate the sale or purchase of, any plot, apartment or building in a registered real estate project. It was issued in exercise of the powers conferred under Sections 25 and 37 of the Act.</t>
  </si>
  <si>
    <t xml:space="preserve">K-RERA Circular on Registration of Real Estate Agents, No. RERA/FINANCE/CR/100/2021-22 dated 30-03-2022</t>
  </si>
  <si>
    <t xml:space="preserve">RERA-T2-10</t>
  </si>
  <si>
    <t xml:space="preserve">Under Section 80, what procedural conditions must be satisfied before a criminal court can take cognizance of an offence under the Act?</t>
  </si>
  <si>
    <t xml:space="preserve">No court shall take cognizance of any offence punishable under the Act or the rules or regulations made thereunder except on a complaint in writing made by the Authority or by an officer of the Authority duly authorised for that purpose. Further, no court inferior to that of a Metropolitan Magistrate or a Judicial Magistrate of the first class shall try any such offence.</t>
  </si>
  <si>
    <t xml:space="preserve">RERD Act, 2016, Section 80(1)-(2) (PDF page 33)</t>
  </si>
  <si>
    <t xml:space="preserve">RERA-T3-01</t>
  </si>
  <si>
    <t xml:space="preserve">Scenario Application</t>
  </si>
  <si>
    <t xml:space="preserve">A Bengaluru promoter bought project land in 2019 for Rs. 8 crores. The Guidance Value under the Karnataka Stamp Act on the date of project registration was Rs. 11 crores. He proposes to treat land cost as Rs. 8 crores when computing what he may draw from the separate account. Is that correct, and what else may he include?</t>
  </si>
  <si>
    <t xml:space="preserve">It is not correct. Rule 5(1)(i) of the Karnataka Rules defines land cost as the acquisition cost OR the Guidance Value in accordance with Section 45-B of the Karnataka Stamp Act, 1957 relevant on the date of registration of the real estate project, whichever is HIGHER. Since the Guidance Value of Rs. 11 crores exceeds the Rs. 8 crore purchase price, land cost is Rs. 11 crores. He may additionally include amounts paid for acquisition or purchase of TDR, and amounts paid to the competent authority for project approval, no objection certificates, stamp duty, transfer charges, registration charges, conversion charges and statutory payments to the State and Central Government. Note that this fixes the permissible heads of expenditure only — withdrawals remain governed by the first proviso to Section 4(2)(l)(D), which requires withdrawal in proportion to the percentage of completion of the project.</t>
  </si>
  <si>
    <t xml:space="preserve">Karnataka Real Estate (Regulation and Development) Rules, 2017, Rule 5(1); RERD Act, 2016, Section 4(2)(l)(D) first proviso</t>
  </si>
  <si>
    <t xml:space="preserve">RERA-T3-02</t>
  </si>
  <si>
    <t xml:space="preserve">A Karnataka promoter has a project with a total estimated cost of Rs. 60 crores. He failed to file the Annual Audit Report for two consecutive financial years, and separately failed to submit Quarterly Updates for all four quarters of FY 2026-27. Compute his exposure under the Karnataka circulars and state whether the audit-report penalty varies with the length of each delay.</t>
  </si>
  <si>
    <t xml:space="preserve">Annual Audit Report: the project cost of Rs. 60 crores falls in the slab 'above Rs. 50 crores and up to Rs. 100 crores', attracting Rs. 50,000 for every financial year of default or delay. Two financial years therefore attract Rs. 50,000 x 2 = Rs. 1,00,000. The penalty does not vary with the length of the delay within a year — it is levied per financial year of default or delay, immaterial of the period of delay or default. Quarterly Updates: Rs. 25,000 for every Quarterly Update not submitted or delayed, so four quarters attract Rs. 25,000 x 4 = Rs. 1,00,000. Total exposure under the two circulars is Rs. 2,00,000.</t>
  </si>
  <si>
    <t xml:space="preserve">K-RERA Circulars on Annual Audit Report penalty under Section 60 and on penalty for Quarterly Updates FY 2026-27</t>
  </si>
  <si>
    <t xml:space="preserve">RERA-T3-03</t>
  </si>
  <si>
    <t xml:space="preserve">An allottee took possession of her flat on 10 March 2021. In January 2026 she discovers seepage traceable to defective workmanship and notifies the promoter in writing. The promoter replies that the five-year period expired because the completion certificate was issued in August 2020, and that he will attend to it 'within a reasonable time'. Evaluate both parts of his response.</t>
  </si>
  <si>
    <t xml:space="preserve">Both parts are wrong. The five-year period under Section 14(3) runs from the date of handing over possession, not from the date of the completion certificate — so it runs from 10 March 2021 and had not expired when she notified him in January 2026. On the second point, the Act fixes the rectification period: the promoter must rectify such defects without further charge within thirty days, not within a 'reasonable time'. If he fails to rectify within that period, the aggrieved allottee is entitled to appropriate compensation in the manner provided under the Act.</t>
  </si>
  <si>
    <t xml:space="preserve">RERD Act, 2016, Section 14(3) (PDF page 16)</t>
  </si>
  <si>
    <t xml:space="preserve">RERA-T3-04</t>
  </si>
  <si>
    <t xml:space="preserve">A promoter asks a prospective buyer for Rs. 8 lakh against a flat costing Rs. 70 lakh, describing it as a 'booking amount' with the agreement for sale to follow once construction reaches plinth level. Is this permissible, and would the answer change if the amount demanded were Rs. 5 lakh?</t>
  </si>
  <si>
    <t xml:space="preserve">It is not permissible at Rs. 8 lakh. Section 13(1) bars a promoter from accepting a sum of more than ten per cent of the cost of the apartment as an advance payment or application fee without first entering into a written agreement for sale and registering it. Ten per cent of Rs. 70 lakh is Rs. 7 lakh, so Rs. 8 lakh exceeds the cap. Labelling it a 'booking amount' is immaterial; the section captures any advance payment or application fee. At Rs. 5 lakh the demand would be within the ten per cent cap and therefore permissible without a prior registered agreement for sale, though the agreement remains required before any further sums are taken.</t>
  </si>
  <si>
    <t xml:space="preserve">RERD Act, 2016, Section 13(1) (PDF page 15)</t>
  </si>
  <si>
    <t xml:space="preserve">RERA-T3-05</t>
  </si>
  <si>
    <t xml:space="preserve">A promoter whose project cost is Rs. 40 crores has been penalised Rs. 12 lakh by the Karnataka Authority and separately directed to refund Rs. 30 lakh with interest to an allottee. He wishes to appeal to K-REAT. What must he pay before the appeal is heard, and what is payable to file it?</t>
  </si>
  <si>
    <t xml:space="preserve">Under the proviso to Section 43(5), his appeal will not be entertained unless he first deposits with the Appellate Tribunal at least thirty per cent of the penalty, or such higher percentage as the Tribunal determines, or the total amount to be paid to the allottee including interest and compensation, or both, as the case may be. Thirty per cent of the Rs. 12 lakh penalty is Rs. 3.6 lakh, and the Tribunal may fix a higher percentage; the refund component is pre-deposited as the total amount directed, not at thirty per cent. Separately, the Karnataka notification fixes the filing fee at Rs. 5,000 and copying fee at Rs. 2 per page, remitted by challan under head of account 0216-02-800-0-01-000. The filing fee is distinct from, and additional to, the pre-deposit.</t>
  </si>
  <si>
    <t xml:space="preserve">RERD Act, 2016, Section 43(5) proviso (PDF page 25); K-RERA Notification on Fees and Head of Account Details for K-REAT Appeals</t>
  </si>
  <si>
    <t xml:space="preserve">RERA-T3-06</t>
  </si>
  <si>
    <t xml:space="preserve">A partnership firm acting as a real estate agent in Karnataka holds a registration expiring on 31 December. It applies for renewal on 15 November, enclosing Rs. 5,000. Identify every defect and state the correct position.</t>
  </si>
  <si>
    <t xml:space="preserve">There are two defects. First, timing: Rule 11(1) requires the renewal application in Form 'J' to be made not less than three months prior to the expiry of the registration granted. An expiry of 31 December required an application by 30 September; 15 November is late. Second, fee: Rule 11(2) fixes the renewal fee at five thousand rupees only where the real estate agent is an individual, and twenty-five thousand rupees where the agent is other than an individual. A partnership firm is an entity other than an individual, so the correct fee is Rs. 25,000, not Rs. 5,000. The firm must also submit all updated documents set out in clauses (a) to (e) of Rule 9 at the time of renewal, along with the same fee specified in sub-rule (2).</t>
  </si>
  <si>
    <t xml:space="preserve">Karnataka Real Estate (Regulation and Development) Rules, 2017, Rules 9 and 11(1)-(3)</t>
  </si>
  <si>
    <t xml:space="preserve">RERA-T3-07</t>
  </si>
  <si>
    <t xml:space="preserve">A real estate agent in Bengaluru has been facilitating sales in a registered project for 100 days without registering himself. The project's apartments he helped sell total Rs. 12 crores. Compute the outer limits of his penalty exposure and identify the provisions engaged.</t>
  </si>
  <si>
    <t xml:space="preserve">Section 62 engages: a real estate agent who fails to comply with or contravenes Section 9 or Section 10 is liable to a penalty of ten thousand rupees for every day during which the default continues, which may cumulatively extend up to five per cent of the cost of the plot, apartment or building of the real estate project for which the sale or purchase has been facilitated, as determined by the Authority. On a daily basis, 100 days x Rs. 10,000 = Rs. 10,00,000. The cumulative cap is five per cent of Rs. 12 crores = Rs. 60,00,000. Since the daily accrual (Rs. 10 lakh) is below the cap, the exposure is Rs. 10 lakh. In Karnataka the registration obligation is Section 9 read with Rule 9 of the Karnataka RERA Rules, 2017, and the Authority has issued a circular specifically warning that agents are transacting in contravention of Section 9.</t>
  </si>
  <si>
    <t xml:space="preserve">RERD Act, 2016, Section 62 (PDF page 29); K-RERA Circular on Registration of Real Estate Agents dated 30-03-2022</t>
  </si>
  <si>
    <t xml:space="preserve">RERA-T3-08</t>
  </si>
  <si>
    <t xml:space="preserve">An allottee files a complaint with the Karnataka Authority. Ninety days pass with no decision. Separately, she wishes to sue the promoter in a civil court for the same matter. Advise on both points.</t>
  </si>
  <si>
    <t xml:space="preserve">On the delay: Section 29(4) requires the Authority to deal with applications as expeditiously as possible and to dispose of them within sixty days from the date of receipt; where it cannot, it must record its reasons in writing for not doing so. The sixty-day period is therefore directory in effect — the Authority does not lose jurisdiction on expiry, but it is obliged to record reasons for the delay. On the civil suit: Section 79 bars civil court jurisdiction over any matter that the Authority, adjudicating officer or Appellate Tribunal is empowered to determine under the Act, and bars any injunction in respect of action taken under the Act. Since a complaint under Section 31 for contravention of the Act falls within the Authority's powers, the civil suit is barred. Her remedy is to pursue the complaint and, if aggrieved by the eventual decision, to appeal to the Appellate Tribunal under Section 43(5).</t>
  </si>
  <si>
    <t xml:space="preserve">RERD Act, 2016, Section 29(4) (PDF page 21), Section 31 (PDF page 21), Section 79 (PDF page 33)</t>
  </si>
  <si>
    <t xml:space="preserve">RERA-T3-09</t>
  </si>
  <si>
    <t xml:space="preserve">An allottee in Bengaluru becomes entitled to a refund of Rs. 40 lakh on 1 April. The promoter pays on 15 August without interest, saying the Act prescribes no Karnataka-specific rate and that payment within the same financial year is timely. Assess both claims.</t>
  </si>
  <si>
    <t xml:space="preserve">Both claims are wrong. On timing, Rule 17 of the Karnataka Rules requires any refund of money along with applicable interest and compensation to be paid by the promoter to the allottee within sixty days from the date on which it becomes due. Sixty days from 1 April expired on 31 May, so payment on 15 August is late by roughly 76 days; there is no 'same financial year' standard. On the rate, Rule 16 expressly prescribes the rate of interest payable by the promoter to the allottee as the State Bank of India highest marginal cost of lending rate plus two per cent — so a Karnataka-specific rate does exist and interest was payable on the refund. The same rate would apply in the reverse direction were the allottee the paying party.</t>
  </si>
  <si>
    <t xml:space="preserve">Karnataka Real Estate (Regulation and Development) Rules, 2017, Rules 16 and 17</t>
  </si>
  <si>
    <t xml:space="preserve">RERA-T3-10</t>
  </si>
  <si>
    <t xml:space="preserve">A promoter holding 40 of 100 apartments in his own name, together with 25 individual allottees, purports to approve a change to the common areas. He says 65 of 100 'allottee units' consented, just short of two-thirds, so he will buy one more unit to cross the threshold. Assess.</t>
  </si>
  <si>
    <t xml:space="preserve">The approach is wrong twice over. First, Section 14(2)(ii) requires the previous written consent of at least two-thirds of the allottees other than the promoter — the promoter's own 40 apartments are excluded from the computation entirely, so the base is the 60 apartments held by others, not 100. Second, the Explanation to Section 14(2) provides that an allottee, irrespective of the number of apartments booked by him or by his family, company, firm, association or related enterprises, is counted as one allottee only. The threshold is therefore computed on the number of allottees, not on units, and buying an additional unit cannot manufacture consent.</t>
  </si>
  <si>
    <t xml:space="preserve">RERD Act, 2016, Section 14(2)(ii) with Explanation (PDF page 16)</t>
  </si>
  <si>
    <t xml:space="preserve">RERA-T4-01</t>
  </si>
  <si>
    <t xml:space="preserve">Multi-step Reasoning</t>
  </si>
  <si>
    <t xml:space="preserve">A Karnataka project of estimated cost Rs. 200 crores fails to comply with an order of the Authority for 150 days, and thereafter fails to comply with an order of the Appellate Tribunal for a further 100 days. Set out the distinct consequences under the Act, including the maximum exposure and any difference in the nature of liability.</t>
  </si>
  <si>
    <t xml:space="preserve">Two different provisions engage, and they differ in kind, not just in degree. Non-compliance with the Authority's orders falls under Section 63: the promoter is liable to a penalty for every day during which the default continues, which may cumulatively extend up to five per cent of the estimated cost of the project as determined by the Authority — here a cap of five per cent of Rs. 200 crores = Rs. 10 crores. Non-compliance with the Appellate Tribunal's orders falls under Section 64, which is materially more serious: the promoter shall be punishable with imprisonment for a term which may extend up to three years, or with fine for every day during which the default continues which may cumulatively extend up to ten per cent of the estimated cost of the project, or with both — here a fine cap of ten per cent of Rs. 200 crores = Rs. 20 crores, with the additional possibility of imprisonment. The key distinction is that Section 63 is purely monetary while Section 64 carries a custodial sentence, and the cumulative cap doubles from five to ten per cent.</t>
  </si>
  <si>
    <t xml:space="preserve">RERD Act, 2016, Sections 63 and 64 (PDF pages 29-30)</t>
  </si>
  <si>
    <t xml:space="preserve">RERA-T4-02</t>
  </si>
  <si>
    <t xml:space="preserve">A Karnataka promoter with a Rs. 30 crore project defaulted on the Annual Audit Report for FY 2023-24 and FY 2024-25 and did not pay the resulting penalty. Trace the full enforcement path available to the Authority, and explain what changes if he appeals.</t>
  </si>
  <si>
    <t xml:space="preserve">Step 1 — quantum. The project cost of Rs. 30 crores falls in the Karnataka slab 'above Rs. 25 crores and up to Rs. 50 crores', attracting Rs. 25,000 for every financial year of default. Two financial years give Rs. 50,000. Note the circular's counting rule: the first financial year is treated as ending on 31.03.2024 and subsequent financial years commence from April 1 of successive years, immaterial of the period of delay or default. Step 2 — recovery. Under Section 40(1), where a promoter fails to pay any penalty imposed under the Act, the amount is recoverable from him in the prescribed manner as an arrears of land revenue, which is why K-RERA routes recovery through the revenue authorities and publishes lists of promoters pending recovery. Step 3 — continuing non-compliance. If he also fails to comply with the Authority's orders, Section 63 exposes him to a further daily penalty cumulatively up to five per cent of the estimated project cost. Step 4 — appeal. Under the proviso to Section 43(5) his appeal to K-REAT will not be entertained unless he first deposits at least thirty per cent of the penalty, or a higher percentage the Tribunal determines; the Karnataka notification additionally requires a Rs. 5,000 filing fee. Filing an appeal does not by itself suspend the character of the dues as recoverable arrears unless the Tribunal so orders.</t>
  </si>
  <si>
    <t xml:space="preserve">K-RERA Annual Audit Report penalty circular; RERD Act, 2016, Sections 40(1) (PDF pages 23-24), 43(5) proviso (PDF page 25), 63 (PDF page 29)</t>
  </si>
  <si>
    <t xml:space="preserve">RERA-T4-03</t>
  </si>
  <si>
    <t xml:space="preserve">A Karnataka allottee wants (a) a refund with interest for delayed possession, and (b) compensation. Identify the correct forum and form for each, the fees, the applicable interest rate, the payment deadline, and what happens if the promoter still does not pay.</t>
  </si>
  <si>
    <t xml:space="preserve">Forum and form: a complaint for violation of the Act, other than matters to be adjudicated by the adjudicating officer, goes to the Regulatory Authority under Rule 29(1) in Form 'N' with a fee of rupees one thousand. Compensation under Sections 12, 14, 18 and 19 is adjudged by the adjudicating officer under Section 71(1), who is or has been a District Judge; the Karnataka Rules provide a separate form and manner for applying to the adjudicating officer under Rule 30. Substantive entitlement: Section 18(1) entitles the allottee, on withdrawal, to return of the amount received with interest at the prescribed rate including compensation. Rate: Rule 16 fixes the rate at the State Bank of India highest marginal cost of lending rate plus two per cent. Deadline: Rule 17 requires payment within sixty days from the date the refund with interest and compensation becomes due. Non-payment: under Section 40(1) the amount is recoverable in the prescribed manner as an arrears of land revenue, with the manner of recovery set out in Rule 25; K-RERA operationalises this by referring cases to the revenue authorities and publishing lists of promoters pending recovery as arrears of land revenue. Appeal: an appeal to the Appellate Tribunal under Section 44(1) carries a fee of five thousand rupees in Form 'R' in triplicate under Rule 33, and a promoter's appeal additionally requires the pre-deposit under the proviso to Section 43(5).</t>
  </si>
  <si>
    <t xml:space="preserve">Karnataka Real Estate (Regulation and Development) Rules, 2017, Rules 16, 17, 25, 29(1), 30, 33; RERD Act, 2016, Sections 18(1), 40(1), 43(5) proviso, 44(1), 71(1)</t>
  </si>
  <si>
    <t xml:space="preserve">RERA-T4-04</t>
  </si>
  <si>
    <t xml:space="preserve">A Karnataka promoter argues that because he has been filing Quarterly Updates late but eventually filing them, and because the delay-fee circular was challenged in the High Court, no liability attaches. Evaluate this across the successive Karnataka circulars.</t>
  </si>
  <si>
    <t xml:space="preserve">The argument fails on both limbs. On late-but-eventual filing: the Karnataka penalty circular levies Rs. 25,000 for every Quarterly Update for non-submission OR delay in submission — delayed filing is expressly penalised on the same footing as non-filing, so eventual compliance does not extinguish liability. The underlying obligation is Section 11(1) of the Act read with Rule 15(1)(D) of the Karnataka Rules. On the litigation: the circular that promoters challenged before the High Court of Karnataka was the earlier delay-fee circular effective from 03-09-2020, which graded the fee as Rs. 10,000 for delay up to one month from the due date (the 15th day from the end of the quarter) and Rs. 20,000 per month beyond one month. A challenge to that earlier circular does not, of itself, displace the later flat-penalty circulars, and the promoter would need to point to an actual order of the Court staying or setting aside the instrument he is being proceeded under. The corpus records the existence of the challenge but not its outcome, so any assertion about the result of that litigation should not be made without verifying the current status.</t>
  </si>
  <si>
    <t xml:space="preserve">K-RERA delay fee circular effective 03-09-2020 (KRERA_CORE_RETRY_05) and K-RERA penalty circular for Quarterly Updates FY 2026-27; RERD Act, 2016, Section 11(1)</t>
  </si>
  <si>
    <t xml:space="preserve">RERA-T4-05</t>
  </si>
  <si>
    <t xml:space="preserve">Compare the consequences under the Act for (a) a promoter who contravenes a provision other than Sections 3 and 4, (b) a real estate agent who contravenes Section 9, and (c) a promoter who defies the Appellate Tribunal. Identify the different measuring bases used for each.</t>
  </si>
  <si>
    <t xml:space="preserve">The three use different bases. (a) Section 61: a promoter contravening any provision other than Section 3 or Section 4 is liable to a penalty which may extend up to five per cent of the estimated cost of the real estate project as determined by the Authority — the base is the estimated project cost, and it is a ceiling, not a daily accrual. (b) Section 62: an agent contravening Section 9 or Section 10 is liable to a penalty of ten thousand rupees for every day during which the default continues, which may cumulatively extend up to five per cent of the cost of the plot, apartment or building for which the sale or purchase has been facilitated — the base is the cost of the specific units the agent dealt with, not the whole project, and liability accrues daily subject to that cap. (c) Section 64: a promoter defying the Appellate Tribunal is punishable with imprisonment up to three years, or with a daily fine cumulatively extending up to ten per cent of the estimated cost of the project, or both — the base is again the estimated project cost but the cap doubles to ten per cent and imprisonment becomes available. So the measuring bases are, respectively, whole-project cost, the facilitated units' cost, and whole-project cost with a doubled cap plus custodial exposure.</t>
  </si>
  <si>
    <t xml:space="preserve">RERD Act, 2016, Sections 61, 62, 63 and 64 (PDF pages 29-30)</t>
  </si>
  <si>
    <t xml:space="preserve">RERA-T4-06</t>
  </si>
  <si>
    <t xml:space="preserve">A promoter proposes to transfer his majority rights and liabilities in an ongoing Karnataka project to a third party, and simultaneously to change the project's name. Set out what consents and approvals are engaged and where the governing material sits in the regulatory hierarchy.</t>
  </si>
  <si>
    <t xml:space="preserve">Two distinct strands engage. Under Section 15 of the Act, the promoter shall not transfer or assign his majority rights and liabilities in respect of a real estate project to a third party without obtaining the prior written consent of two-thirds of the allottees (other than the promoter) and without the prior written approval of the Authority — both consents are required, and neither substitutes for the other. In Karnataka the Authority has issued a procedural instrument, the Procedure for transferring or assigning promoter's rights and liabilities to a third party, and a separate instrument, the Guidelines for Change of Project Name. A point of regulatory hierarchy matters here: those Karnataka instruments are classified in this corpus as Supporting Guidance, not core regulatory material — they explain and operationalise the statutory requirement but do not displace it. Where the guidance and Section 15 diverge, Section 15 governs. Any answer should cite the statutory requirement as the binding basis and the Karnataka procedure only as the implementing process.</t>
  </si>
  <si>
    <t xml:space="preserve">RERD Act, 2016, Section 15; K-RERA Procedure for transferring or assigning promoter's rights and liabilities to a third party; K-RERA Guidelines for Change of Project Name (both 02_Corpus/RERA/03_Supporting_Guidance)</t>
  </si>
  <si>
    <t xml:space="preserve">RERA-T4-07</t>
  </si>
  <si>
    <t xml:space="preserve">An allottee obtains an order for refund with interest. The promoter neither pays nor appeals, and the Authority's subsequent directions are ignored for 200 days on a project costing Rs. 80 crores. Quantify and sequence the consequences.</t>
  </si>
  <si>
    <t xml:space="preserve">Sequence: (1) The refund order itself arises under Section 18(1), under which a promoter who fails to give possession in accordance with the agreement is liable, on demand, to return the amount received with interest at the prescribed rate including compensation, where the allottee wishes to withdraw. (2) Non-payment engages Section 40(1): the amount is recoverable from the promoter in the prescribed manner as an arrears of land revenue — in Karnataka this is operationalised through references to the revenue authorities and the publication of lists of promoters pending recovery as arrears of land revenue. (3) Ignoring the Authority's directions engages Section 63: a penalty for every day during which the default continues, cumulatively extending up to five per cent of the estimated cost of the project. Five per cent of Rs. 80 crores is Rs. 4 crores, which is the ceiling on that head; the daily rate is set by the Authority. (4) If the matter reaches the Appellate Tribunal and its orders are then defied, Section 64 escalates exposure to imprisonment up to three years or a daily fine cumulatively up to ten per cent (Rs. 8 crores), or both. Note that the Section 63 and Section 64 caps attach to different orders being defied and are not interchangeable.</t>
  </si>
  <si>
    <t xml:space="preserve">RERD Act, 2016, Sections 18(1) (PDF page 17), 40(1) (PDF pages 23-24), 63 and 64 (PDF pages 29-30); K-RERA lists of promoters pending recovery as arrears of land revenue</t>
  </si>
  <si>
    <t xml:space="preserve">RERA-T4-08</t>
  </si>
  <si>
    <t xml:space="preserve">Explain how Sections 79, 88 and 89 together determine whether an allottee who has already approached a consumer forum can continue there, and what Section 71 adds.</t>
  </si>
  <si>
    <t xml:space="preserve">Section 88 provides that the Act is in addition to, and not in derogation of, any other law, which preserves remedies under other statutes including consumer protection law. Section 89 gives the Act overriding effect only where another law is inconsistent with it. Section 79 bars civil courts from entertaining matters the Authority, adjudicating officer or Appellate Tribunal is empowered to determine. The Act then resolves the specific overlap expressly: the proviso to Section 71(1) addresses a person whose complaint in respect of matters covered under Sections 12, 14, 18 and 19 was pending before the Consumer Disputes Redressal Forum, the Consumer Disputes Redressal Commission or the National Consumer Redressal Commission on or before the commencement of the Act. The correct analysis is therefore not to reason from Sections 79, 88 and 89 alone — the Act contains a targeted transitional provision in Section 71 governing pending consumer proceedings, and that specific provision controls over the general ones.</t>
  </si>
  <si>
    <t xml:space="preserve">RERD Act, 2016, Sections 71(1) proviso (PDF pages 30-31), 79 (PDF page 33), 88 and 89 (PDF page 36)</t>
  </si>
  <si>
    <t xml:space="preserve">RERA-T4-09</t>
  </si>
  <si>
    <t xml:space="preserve">A Karnataka promoter obtained a COVID-era force majeure extension and now seeks a further extension for an unrelated commercial reason, having already used ten months of extension. Analyse what is available to him.</t>
  </si>
  <si>
    <t xml:space="preserve">Two questions arise: the aggregate cap and the ground. On the cap, Section 6 provides that extensions granted by the Authority shall in the aggregate not exceed a period of one year. Having used ten months, at most two further months remain available under that head, regardless of the ground. On the ground, the Explanation to Section 6 confines force majeure to war, flood, drought, fire, cyclone, earthquake or any other calamity caused by nature affecting the regular development of the project; an unrelated commercial reason does not qualify. The first proviso to Section 6 nevertheless permits the Authority, in reasonable circumstances and without default on the part of the promoter, on the facts of each case and for reasons recorded in writing, to extend registration for such time as it considers necessary — but that discretion is itself subject to the same one-year aggregate cap. Separately, Karnataka has issued force majeure extension orders in the COVID context and a circular on the fee for further extension under Section 7; the fee instrument governs what is payable, not whether the extension is available. Any extension already granted under the COVID orders counts toward the aggregate.</t>
  </si>
  <si>
    <t xml:space="preserve">RERD Act, 2016, Section 6 with provisos and Explanation (PDF page 11); K-RERA force majeure extension orders (KRERA_CORE_RETRY_01, KRERA_CORE_RETRY_12); K-RERA circular on Fee for further Extension under Sec 7</t>
  </si>
  <si>
    <t xml:space="preserve">RERA-T4-10</t>
  </si>
  <si>
    <t xml:space="preserve">Karnataka RERA has constituted a Conciliation and Dispute Resolution Cell. Explain how recourse to it interacts with an allottee's statutory rights, and what an assistant should be careful to state about its legal effect.</t>
  </si>
  <si>
    <t xml:space="preserve">The Authority has formally constituted a Conciliation and Dispute Resolution Cell in K-RERA. Conceptually it provides a facilitative forum for settlement, but it does not replace the statutory machinery: Section 31 preserves the right of any aggrieved person to file a complaint with the Authority or the adjudicating officer for any violation of the Act, Section 71 vests the power to adjudge compensation under Sections 12, 14, 18 and 19 in the adjudicating officer, and Section 43(5) preserves the right of appeal to the Appellate Tribunal. An assistant should be careful to state that participation in conciliation is a settlement mechanism and does not by itself extinguish, suspend or substitute those statutory remedies, and should not represent the Cell's outcomes as having the force of an adjudicatory order unless the corpus supports that. Where the corpus does not establish the Cell's binding effect, the assistant should say so rather than infer it.</t>
  </si>
  <si>
    <t xml:space="preserve">K-RERA Notification, Formation of Conciliation and Dispute Resolution Cell in K-RERA; RERD Act, 2016, Sections 31, 71 and 43(5)</t>
  </si>
  <si>
    <t xml:space="preserve">RERA-T5-01</t>
  </si>
  <si>
    <t xml:space="preserve">Adversarial / Trap</t>
  </si>
  <si>
    <t xml:space="preserve">My lawyer says RERA registration is only exempt if the project is both under 500 square metres and has eight or fewer apartments — so my 450 square metre, 10-apartment project must be registered. Is that right?</t>
  </si>
  <si>
    <t xml:space="preserve">No. Section 3(2)(a) uses 'or', not 'and': registration is not required where the area of land proposed to be developed does not exceed five hundred square metres OR the number of apartments proposed to be developed does not exceed eight, inclusive of all phases. The limbs are disjunctive, so a 450 square metre project is exempt even though it has 10 apartments. The only qualification is the proviso, under which the appropriate Government may reduce the threshold below five hundred square metres or eight apartments, in which case the project must be reassessed against the reduced limit.</t>
  </si>
  <si>
    <t xml:space="preserve">RERD Act, 2016, Section 3(2)(a) with proviso (PDF page 9)</t>
  </si>
  <si>
    <t xml:space="preserve">Conjunctive/disjunctive inversion. The question asserts the two thresholds are cumulative ('both ... and') when the Act makes them alternative ('or'). Models that have memorised the two numbers but not the connector will accept the premise and wrongly require registration.</t>
  </si>
  <si>
    <t xml:space="preserve">RERA-T5-02</t>
  </si>
  <si>
    <t xml:space="preserve">Since RERA requires 70% of buyer money to be kept in a separate account, and my project is 40% complete, I can withdraw the remaining 30% freely for my other project. Confirm this is correct.</t>
  </si>
  <si>
    <t xml:space="preserve">It is not correct, and it misreads the provision in two ways. First, the 70% is not a portion that can be released once a completion milestone is met — it is a ring-fence requiring that seventy per cent of the amounts realised from allottees be deposited in a separate scheduled-bank account to cover the cost of construction and the land cost, and used only for that purpose. Second, withdrawals from that account are governed by the first proviso, which requires the promoter to withdraw in proportion to the percentage of completion of the project, so 40% completion does not entitle withdrawal of a larger share. Nothing in Section 4(2)(l)(D) authorises the use of project funds for a different project; diversion between projects is the specific mischief the provision addresses.</t>
  </si>
  <si>
    <t xml:space="preserve">RERD Act, 2016, Section 4(2)(l)(D) with first proviso (PDF page 10)</t>
  </si>
  <si>
    <t xml:space="preserve">Compound false premise. Treats the 70% deposit requirement as implying a free 30%, and treats percentage completion as unlocking withdrawal rather than limiting it. Also smuggles in cross-project diversion, which the provision exists to prevent.</t>
  </si>
  <si>
    <t xml:space="preserve">RERA-T5-03</t>
  </si>
  <si>
    <t xml:space="preserve">The Karnataka penalty for a late Annual Audit Report is Rs. 25,000 per project regardless of size, and it doubles for each additional month of delay. My Rs. 120 crore project is four months late — so I owe Rs. 4 lakh. Check my calculation.</t>
  </si>
  <si>
    <t xml:space="preserve">The premise and the calculation are both wrong. The Karnataka circular levies the Annual Audit Report penalty under Section 60 on a slab basis keyed to the total estimated cost of the project, not a flat Rs. 25,000: less than Rs. 25 crores — Rs. 20,000; above Rs. 25 crores and up to Rs. 50 crores — Rs. 25,000; above Rs. 50 crores and up to Rs. 100 crores — Rs. 50,000; above Rs. 100 crores — Rs. 1,00,000. A Rs. 120 crore project therefore falls in the highest slab at Rs. 1,00,000. The penalty also does not double monthly: it is levied for every financial year of default or delay, immaterial of the period of delay or default, with the first financial year treated as ending on 31.03.2024. Four months of delay within a single financial year attracts one year's penalty of Rs. 1,00,000, not Rs. 4 lakh.</t>
  </si>
  <si>
    <t xml:space="preserve">K-RERA Circular, Levy of Penalty for Non-submission and Delay in Submission of Annual Audit Report under Section 60 of the RERA Act, 2016</t>
  </si>
  <si>
    <t xml:space="preserve">Two fabricated mechanics: a flat size-independent rate (the circular is slab-based on project cost) and monthly doubling (the circular is per financial year, immaterial of the period of delay). The arithmetic is internally consistent, which makes it persuasive; both inputs are false.</t>
  </si>
  <si>
    <t xml:space="preserve">RERA-T5-04</t>
  </si>
  <si>
    <t xml:space="preserve">Because Section 89 gives RERA overriding effect over all other laws, an allottee cannot pursue any remedy under consumer protection law at all. Is that a correct statement of the position?</t>
  </si>
  <si>
    <t xml:space="preserve">No. Section 89 provides that the Act has effect notwithstanding anything INCONSISTENT contained in any other law — it resolves conflicts, it does not extinguish other statutes wholesale. It must be read with Section 88, which provides that the Act is in addition to, and not in derogation of, the provisions of any other law for the time being in force, expressly preserving concurrent remedies. The Act itself contemplates the coexistence of consumer proceedings: the proviso to Section 71(1) deals specifically with a person whose complaint in respect of matters covered under Sections 12, 14, 18 and 19 was pending before a Consumer Disputes Redressal Forum, Commission or the National Commission on or before the commencement of the Act. Section 79's bar is also subject-matter specific, extending only to matters the RERA forums are empowered to determine.</t>
  </si>
  <si>
    <t xml:space="preserve">RERD Act, 2016, Sections 88 and 89 (PDF page 36), Section 71(1) proviso (PDF pages 30-31), Section 79 (PDF page 33)</t>
  </si>
  <si>
    <t xml:space="preserve">Over-extension of a non obstante clause. Drops the word 'inconsistent' from Section 89 and ignores Section 88 entirely, converting a conflict-resolution rule into a blanket ouster. Models frequently over-read non obstante clauses.</t>
  </si>
  <si>
    <t xml:space="preserve">RERA-T5-05</t>
  </si>
  <si>
    <t xml:space="preserve">Karnataka follows the central rule that interest on delayed possession is SBI's MCLR plus 1%, and refunds must be made within 45 days. My builder is therefore within time at day 44. Confirm.</t>
  </si>
  <si>
    <t xml:space="preserve">Both figures in the premise are wrong, and there is no 'central rule' fixing them — the Act leaves the rate and the timeline to be prescribed by the State rules. Under the Karnataka Rules, Rule 16 fixes the rate of interest payable by the promoter to the allottee (and by the allottee to the promoter) as the State Bank of India highest marginal cost of lending rate plus TWO per cent, not one per cent. Rule 17 requires any refund of money along with applicable interest and compensation to be paid within SIXTY days from the date it becomes due, not forty-five. So the builder is not within a 45-day window because no such window exists; the applicable period is sixty days, and the applicable rate is MCLR plus two per cent.</t>
  </si>
  <si>
    <t xml:space="preserve">Two fabricated numbers presented as settled central law (MCLR+1% and 45 days) when both are State-prescribed and Karnataka sets MCLR+2% and 60 days. The conclusion is made to turn on the false 45-day figure, so a model that accepts the premise will wrongly clear the builder.</t>
  </si>
  <si>
    <t xml:space="preserve">RERA-T5-06</t>
  </si>
  <si>
    <t xml:space="preserve">Since a landowner who only contributes land and takes a revenue share is not a developer, Karnataka RERA treats him as an investor rather than a promoter, so he carries no promoter liability. Is that the position?</t>
  </si>
  <si>
    <t xml:space="preserve">No, that is the opposite of the Karnataka position. Circular No. KRERA/circular/03/2019 dated 31.10.2019 expressly provides that land owners having an area or revenue share in a real estate project are to be treated as a promoter (landowner). The circular reasons from the definition of 'promoter' in Section 2(zk) of the Act, which it notes already covers the landowner, and was issued under Section 37, which empowers the Authority to issue directions to promoters, allottees and real estate agents, read with the Chairperson's powers of general superintendence under Section 25. A landowner with an area or revenue share therefore carries promoter obligations under the Act; the label 'investor' does not displace the statutory definition.</t>
  </si>
  <si>
    <t xml:space="preserve">K-RERA Circular No. KRERA/circular/03/2019 dated 31.10.2019; RERD Act, 2016, Sections 2(zk), 25 and 37</t>
  </si>
  <si>
    <t xml:space="preserve">Inverts a specific Karnataka direction and dresses it in a plausible commercial distinction (landowner as passive investor). A model reasoning from general real-estate intuition rather than the Karnataka circular will accept the premise and wrongly absolve the landowner.</t>
  </si>
  <si>
    <t xml:space="preserve">RERA-T5-07</t>
  </si>
  <si>
    <t xml:space="preserve">To appeal a Karnataka RERA penalty order, I just pay the Rs. 5,000 appeal fee and K-REAT hears the matter; the 30% pre-deposit only applies if the allottee asks for it. Verify.</t>
  </si>
  <si>
    <t xml:space="preserve">That is wrong. The pre-deposit is a statutory condition of entertainment, not something an allottee must request. Under the proviso to Section 43(5), where a promoter files an appeal with the Appellate Tribunal it SHALL NOT BE ENTERTAINED without the promoter first having deposited at least thirty per cent of the penalty, or such higher percentage as may be determined by the Appellate Tribunal, or the total amount to be paid to the allottee including interest and compensation imposed on him, if any, or both, as the case may be, before the appeal is heard. The Rs. 5,000 is a separate filing fee under the Karnataka notification on Fees and Head of Account Details for K-REAT Appeals, which also fixes a copying fee of Rs. 2 per page and the head of account 0216-02-800-0-01-000, and which expressly records the pre-deposit as a distinct remittance. Paying the filing fee alone does not make the appeal maintainable.</t>
  </si>
  <si>
    <t xml:space="preserve">Recharacterises a mandatory jurisdictional pre-condition as an optional, party-triggered step, and conflates the filing fee with the pre-deposit. The two are separately provided for in the Karnataka notification itself.</t>
  </si>
  <si>
    <t xml:space="preserve">RERA-T5-08</t>
  </si>
  <si>
    <t xml:space="preserve">Since the Karnataka delay-fee circular was challenged in the High Court, all K-RERA penalties for late Quarterly Updates are currently unenforceable. Confirm this and tell me what the Court held.</t>
  </si>
  <si>
    <t xml:space="preserve">This cannot be confirmed, and part of it should be rejected outright. The corpus records that the earlier delay-fee circular — effective from 03-09-2020, levying Rs. 10,000 for delay up to one month from the due date and Rs. 20,000 per month beyond that — was challenged by some promoters before the High Court of Karnataka. The corpus does not record the outcome of that challenge, so no statement should be made about what the Court held; asserting a holding here would be unsupported. Further, a challenge to that specific earlier circular would not automatically render unenforceable the separate, later circulars levying a flat Rs. 25,000 per Quarterly Update for non-submission or delayed submission, which rest on Section 11(1) of the Act read with Rule 15(1)(D) of the Karnataka Rules. The correct response is that the current status of the litigation must be verified from the Court's record before any conclusion is drawn.</t>
  </si>
  <si>
    <t xml:space="preserve">K-RERA delay fee circular effective 03-09-2020 (KRERA_CORE_RETRY_05); K-RERA penalty circulars for Quarterly Updates</t>
  </si>
  <si>
    <t xml:space="preserve">Invites fabrication of a judicial holding the corpus does not contain, and asks the model to generalise a challenge against one circular into the invalidity of a different instrument. The correct behaviour is to refuse the unsupported part and flag the need to verify.</t>
  </si>
  <si>
    <t xml:space="preserve">RERA-T5-09</t>
  </si>
  <si>
    <t xml:space="preserve">The Karnataka Guidelines for Change of Project Name are binding regulations, so if they conflict with Section 15 of the Act on transferring a project, the Guidelines prevail as the more specific state instrument. Assess.</t>
  </si>
  <si>
    <t xml:space="preserve">The assessment is wrong on both the characterisation and the hierarchy. Instruments such as the Karnataka Guidelines for Change of Project Name and the Procedure for transferring or assigning promoter's rights and liabilities to a third party are supporting guidance — they explain and operationalise statutory requirements and are classified in this corpus as Supporting Guidance rather than core regulatory material. They are not a source of obligations independent of the Act. Section 15 is primary legislation requiring, for the transfer or assignment of a promoter's majority rights and liabilities, the prior written consent of two-thirds of the allottees and the prior written approval of the Authority. Administrative guidance cannot override a statutory requirement, and Section 89 gives the Act overriding effect over inconsistent provisions. Where guidance and the Act diverge, the Act governs, and an assistant should cite the statutory provision as the binding basis.</t>
  </si>
  <si>
    <t xml:space="preserve">RERD Act, 2016, Section 15 and Section 89 (PDF page 36); K-RERA Guidelines for Change of Project Name and Procedure for transferring or assigning promoter's rights and liabilities (02_Corpus/RERA/03_Supporting_Guidance)</t>
  </si>
  <si>
    <t xml:space="preserve">Authority-tier inversion. Invites the model to treat Supporting Guidance as binding regulation and to apply a generalia specialibus argument to elevate it above primary legislation. Tests whether the system respects the corpus's authority hierarchy.</t>
  </si>
  <si>
    <t xml:space="preserve">RERA-T5-10</t>
  </si>
  <si>
    <t xml:space="preserve">A promoter who ignores an Appellate Tribunal order faces the same consequences as one who ignores an Authority order — a daily penalty capped at 5% of project cost, with no possibility of imprisonment under RERA. Correct?</t>
  </si>
  <si>
    <t xml:space="preserve">Incorrect on both the cap and the availability of imprisonment. Ignoring an order of the AUTHORITY falls under Section 63: a penalty for every day during which the default continues, cumulatively extending up to five per cent of the estimated cost of the project. Ignoring an order, decision or direction of the APPELLATE TRIBUNAL falls under Section 64, which provides that the promoter shall be punishable with imprisonment for a term which may extend up to three years, or with fine for every day during which the default continues which may cumulatively extend up to ten per cent of the estimated cost of the project, or with both. The cumulative cap therefore doubles from five to ten per cent, and RERA does provide for imprisonment at this level — so the claim that no custodial consequence exists under the Act is wrong.</t>
  </si>
  <si>
    <t xml:space="preserve">Flattens a deliberate statutory escalation. Asserts parity between Sections 63 and 64 and denies the existence of a custodial sanction, when Section 64 doubles the cap and expressly provides imprisonment up to three years.</t>
  </si>
  <si>
    <t xml:space="preserve">source_id</t>
  </si>
  <si>
    <t xml:space="preserve">document_title</t>
  </si>
  <si>
    <t xml:space="preserve">authority</t>
  </si>
  <si>
    <t xml:space="preserve">corpus_bucket</t>
  </si>
  <si>
    <t xml:space="preserve">text_status</t>
  </si>
  <si>
    <t xml:space="preserve">S1</t>
  </si>
  <si>
    <t xml:space="preserve">The Real Estate (Regulation and Development) Act, 2016</t>
  </si>
  <si>
    <t xml:space="preserve">Parliament of India</t>
  </si>
  <si>
    <t xml:space="preserve">02_Corpus/RERA/01_Central_RERA</t>
  </si>
  <si>
    <t xml:space="preserve">native text</t>
  </si>
  <si>
    <t xml:space="preserve">S2</t>
  </si>
  <si>
    <t xml:space="preserve">Karnataka Real Estate (Regulation and Development) Rules, 2017</t>
  </si>
  <si>
    <t xml:space="preserve">Government of Karnataka</t>
  </si>
  <si>
    <t xml:space="preserve">02_Corpus/RERA/02_Karnataka_RERA</t>
  </si>
  <si>
    <t xml:space="preserve">OCR applied</t>
  </si>
  <si>
    <t xml:space="preserve">S3</t>
  </si>
  <si>
    <t xml:space="preserve">K-RERA Circular — Levy of Penalty for Non-submission / Delay in Annual Audit Report (Section 60)</t>
  </si>
  <si>
    <t xml:space="preserve">Karnataka RERA</t>
  </si>
  <si>
    <t xml:space="preserve">S4</t>
  </si>
  <si>
    <t xml:space="preserve">K-RERA Circular — Penalty for delay / non-submission of Quarterly Updates FY 2026-27</t>
  </si>
  <si>
    <t xml:space="preserve">S5</t>
  </si>
  <si>
    <t xml:space="preserve">K-RERA Circular — earlier delay-fee regime effective 03-09-2020 (KRERA_CORE_RETRY_05)</t>
  </si>
  <si>
    <t xml:space="preserve">S6</t>
  </si>
  <si>
    <t xml:space="preserve">K-RERA Circular No. KRERA/circular/03/2019 — Landowners with area/revenue share treated as promoter</t>
  </si>
  <si>
    <t xml:space="preserve">S7</t>
  </si>
  <si>
    <t xml:space="preserve">K-RERA Circular on Registration of Real Estate Agents, RERA/FINANCE/CR/100/2021-22</t>
  </si>
  <si>
    <t xml:space="preserve">S8</t>
  </si>
  <si>
    <t xml:space="preserve">K-RERA Notification — Fees and Head of Account Details for K-REAT Appeals</t>
  </si>
  <si>
    <t xml:space="preserve">S9</t>
  </si>
  <si>
    <t xml:space="preserve">K-RERA Notification — Formation of Conciliation and Dispute Resolution Cell</t>
  </si>
  <si>
    <t xml:space="preserve">S10</t>
  </si>
  <si>
    <t xml:space="preserve">K-RERA force majeure extension orders (KRERA_CORE_RETRY_01 / _12)</t>
  </si>
  <si>
    <t xml:space="preserve">S11</t>
  </si>
  <si>
    <t xml:space="preserve">K-RERA Guidelines for Change of Project Name; Procedure for transfer of promoter rights</t>
  </si>
  <si>
    <t xml:space="preserve">02_Corpus/RERA/03_Supporting_Guidance</t>
  </si>
  <si>
    <t xml:space="preserve">model</t>
  </si>
  <si>
    <t xml:space="preserve">prompt_sent</t>
  </si>
  <si>
    <t xml:space="preserve">response_text</t>
  </si>
  <si>
    <t xml:space="preserve">gpt-5-nano (base)</t>
  </si>
  <si>
    <t xml:space="preserve">gpt-oss-20b (base)</t>
  </si>
  <si>
    <t xml:space="preserve">gemma-3n-E4B (base)</t>
  </si>
  <si>
    <t xml:space="preserve">RAG (corpus-augmented)</t>
  </si>
  <si>
    <t xml:space="preserve">factual_accuracy_0_4</t>
  </si>
  <si>
    <t xml:space="preserve">completeness_0_2</t>
  </si>
  <si>
    <t xml:space="preserve">confidence_calibration_0_2</t>
  </si>
  <si>
    <t xml:space="preserve">total_0_8</t>
  </si>
  <si>
    <t xml:space="preserve">notes</t>
  </si>
  <si>
    <t xml:space="preserve">scorer_A</t>
  </si>
  <si>
    <t xml:space="preserve">scorer_B</t>
  </si>
  <si>
    <t xml:space="preserve">scorer_C</t>
  </si>
  <si>
    <t xml:space="preserve">average</t>
  </si>
  <si>
    <t xml:space="preserve">spread</t>
  </si>
  <si>
    <t xml:space="preserve">reconciliation_flag</t>
  </si>
  <si>
    <t xml:space="preserve">final_score</t>
  </si>
  <si>
    <t xml:space="preserve">Base LLM vs RAG — mean score by tier (max 8)</t>
  </si>
  <si>
    <t xml:space="preserve">RAG uplift vs best base</t>
  </si>
  <si>
    <t xml:space="preserve">ALL</t>
  </si>
  <si>
    <t xml:space="preserve">Populate 3_Responses, then the three scorer sheets. 5_Reconciled and this sheet compute automatically. A spread greater than 1 between scorers flags the row for reconciliation.</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</si>
</sst>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8F1FA"/>
        <bgColor rgb="FFE6F4EA"/>
      </patternFill>
    </fill>
    <fill>
      <patternFill patternType="solid">
        <fgColor rgb="FFE6F4EA"/>
        <bgColor rgb="FFE8F1FA"/>
      </patternFill>
    </fill>
    <fill>
      <patternFill patternType="solid">
        <fgColor rgb="FFFFF4E5"/>
        <bgColor rgb="FFFDE8E8"/>
      </patternFill>
    </fill>
    <fill>
      <patternFill patternType="solid">
        <fgColor rgb="FFF3E8FD"/>
        <bgColor rgb="FFFDE8E8"/>
      </patternFill>
    </fill>
    <fill>
      <patternFill patternType="solid">
        <fgColor rgb="FFFDE8E8"/>
        <bgColor rgb="FFF3E8F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E6F4EA"/>
          <bgColor rgb="FF000000"/>
        </patternFill>
      </fill>
    </dxf>
    <dxf>
      <fill>
        <patternFill patternType="solid">
          <fgColor rgb="FFE8F1FA"/>
          <bgColor rgb="FF000000"/>
        </patternFill>
      </fill>
    </dxf>
    <dxf>
      <fill>
        <patternFill patternType="solid">
          <fgColor rgb="FFF3E8FD"/>
          <bgColor rgb="FF000000"/>
        </patternFill>
      </fill>
    </dxf>
    <dxf>
      <fill>
        <patternFill patternType="solid">
          <fgColor rgb="FFFDE8E8"/>
          <bgColor rgb="FF000000"/>
        </patternFill>
      </fill>
    </dxf>
    <dxf>
      <fill>
        <patternFill patternType="solid">
          <fgColor rgb="FFFFF4E5"/>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E5"/>
      <rgbColor rgb="FFE6F4EA"/>
      <rgbColor rgb="FF660066"/>
      <rgbColor rgb="FFFF8080"/>
      <rgbColor rgb="FF0066CC"/>
      <rgbColor rgb="FFF3E8FD"/>
      <rgbColor rgb="FF000080"/>
      <rgbColor rgb="FFFF00FF"/>
      <rgbColor rgb="FFFFFF00"/>
      <rgbColor rgb="FF00FFFF"/>
      <rgbColor rgb="FF800080"/>
      <rgbColor rgb="FF800000"/>
      <rgbColor rgb="FF008080"/>
      <rgbColor rgb="FF0000FF"/>
      <rgbColor rgb="FF00CCFF"/>
      <rgbColor rgb="FFE8F1FA"/>
      <rgbColor rgb="FFCCFFCC"/>
      <rgbColor rgb="FFFDE8E8"/>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4"/>
  </cols>
  <sheetData>
    <row r="1" customFormat="false" ht="44"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4"/>
      <c r="B3" s="4"/>
    </row>
    <row r="4" customFormat="false" ht="15" hidden="false" customHeight="false" outlineLevel="0" collapsed="false">
      <c r="A4" s="5" t="s">
        <v>3</v>
      </c>
      <c r="B4" s="4" t="s">
        <v>4</v>
      </c>
    </row>
    <row r="5" customFormat="false" ht="15" hidden="false" customHeight="false" outlineLevel="0" collapsed="false">
      <c r="A5" s="5" t="s">
        <v>5</v>
      </c>
      <c r="B5" s="4" t="s">
        <v>6</v>
      </c>
    </row>
    <row r="6" customFormat="false" ht="15" hidden="false" customHeight="false" outlineLevel="0" collapsed="false">
      <c r="A6" s="5" t="s">
        <v>7</v>
      </c>
      <c r="B6" s="4" t="s">
        <v>2</v>
      </c>
    </row>
    <row r="7" customFormat="false" ht="15" hidden="false" customHeight="false" outlineLevel="0" collapsed="false">
      <c r="A7" s="5" t="s">
        <v>8</v>
      </c>
      <c r="B7" s="4" t="s">
        <v>9</v>
      </c>
    </row>
    <row r="8" customFormat="false" ht="15" hidden="false" customHeight="false" outlineLevel="0" collapsed="false">
      <c r="A8" s="4"/>
      <c r="B8" s="4"/>
    </row>
    <row r="9" customFormat="false" ht="15" hidden="false" customHeight="false" outlineLevel="0" collapsed="false">
      <c r="A9" s="5" t="s">
        <v>10</v>
      </c>
      <c r="B9" s="4"/>
    </row>
    <row r="10" customFormat="false" ht="23.85" hidden="false" customHeight="false" outlineLevel="0" collapsed="false">
      <c r="A10" s="4"/>
      <c r="B10" s="4" t="s">
        <v>11</v>
      </c>
    </row>
    <row r="11" customFormat="false" ht="15" hidden="false" customHeight="false" outlineLevel="0" collapsed="false">
      <c r="A11" s="4"/>
      <c r="B11" s="4"/>
    </row>
    <row r="12" customFormat="false" ht="15" hidden="false" customHeight="false" outlineLevel="0" collapsed="false">
      <c r="A12" s="5" t="s">
        <v>12</v>
      </c>
      <c r="B12" s="4"/>
    </row>
    <row r="13" customFormat="false" ht="15" hidden="false" customHeight="false" outlineLevel="0" collapsed="false">
      <c r="A13" s="5" t="s">
        <v>13</v>
      </c>
      <c r="B13" s="4" t="s">
        <v>14</v>
      </c>
    </row>
    <row r="14" customFormat="false" ht="15" hidden="false" customHeight="false" outlineLevel="0" collapsed="false">
      <c r="A14" s="5" t="s">
        <v>15</v>
      </c>
      <c r="B14" s="4" t="s">
        <v>16</v>
      </c>
    </row>
    <row r="15" customFormat="false" ht="23.85" hidden="false" customHeight="false" outlineLevel="0" collapsed="false">
      <c r="A15" s="5" t="s">
        <v>17</v>
      </c>
      <c r="B15" s="4" t="s">
        <v>18</v>
      </c>
    </row>
    <row r="16" customFormat="false" ht="15" hidden="false" customHeight="false" outlineLevel="0" collapsed="false">
      <c r="A16" s="5" t="s">
        <v>19</v>
      </c>
      <c r="B16" s="4" t="s">
        <v>20</v>
      </c>
    </row>
    <row r="17" customFormat="false" ht="23.85" hidden="false" customHeight="false" outlineLevel="0" collapsed="false">
      <c r="A17" s="5" t="s">
        <v>21</v>
      </c>
      <c r="B17" s="4" t="s">
        <v>22</v>
      </c>
    </row>
    <row r="18" customFormat="false" ht="15" hidden="false" customHeight="false" outlineLevel="0" collapsed="false">
      <c r="A18" s="4"/>
      <c r="B18" s="4"/>
    </row>
    <row r="19" customFormat="false" ht="15" hidden="false" customHeight="false" outlineLevel="0" collapsed="false">
      <c r="A19" s="5" t="s">
        <v>23</v>
      </c>
      <c r="B19" s="4"/>
    </row>
    <row r="20" customFormat="false" ht="15" hidden="false" customHeight="false" outlineLevel="0" collapsed="false">
      <c r="A20" s="4"/>
      <c r="B20" s="4" t="s">
        <v>24</v>
      </c>
    </row>
    <row r="21" customFormat="false" ht="15" hidden="false" customHeight="false" outlineLevel="0" collapsed="false">
      <c r="A21" s="5" t="s">
        <v>25</v>
      </c>
      <c r="B21" s="4" t="s">
        <v>26</v>
      </c>
    </row>
    <row r="22" customFormat="false" ht="15" hidden="false" customHeight="false" outlineLevel="0" collapsed="false">
      <c r="A22" s="5" t="s">
        <v>27</v>
      </c>
      <c r="B22" s="4" t="s">
        <v>28</v>
      </c>
    </row>
    <row r="23" customFormat="false" ht="35.05" hidden="false" customHeight="false" outlineLevel="0" collapsed="false">
      <c r="A23" s="5" t="s">
        <v>29</v>
      </c>
      <c r="B23" s="4" t="s">
        <v>30</v>
      </c>
    </row>
    <row r="24" customFormat="false" ht="15" hidden="false" customHeight="false" outlineLevel="0" collapsed="false">
      <c r="A24" s="4"/>
      <c r="B24" s="4"/>
    </row>
    <row r="25" customFormat="false" ht="15" hidden="false" customHeight="false" outlineLevel="0" collapsed="false">
      <c r="A25" s="5" t="s">
        <v>31</v>
      </c>
      <c r="B25" s="4"/>
    </row>
    <row r="26" customFormat="false" ht="46.25" hidden="false" customHeight="false" outlineLevel="0" collapsed="false">
      <c r="A26" s="4"/>
      <c r="B26" s="4" t="s">
        <v>32</v>
      </c>
    </row>
    <row r="27" customFormat="false" ht="15" hidden="false" customHeight="false" outlineLevel="0" collapsed="false">
      <c r="A27" s="4"/>
      <c r="B27" s="4"/>
    </row>
    <row r="28" customFormat="false" ht="15" hidden="false" customHeight="false" outlineLevel="0" collapsed="false">
      <c r="A28" s="5" t="s">
        <v>33</v>
      </c>
      <c r="B28" s="4"/>
    </row>
    <row r="29" customFormat="false" ht="15" hidden="false" customHeight="false" outlineLevel="0" collapsed="false">
      <c r="A29" s="5" t="s">
        <v>34</v>
      </c>
      <c r="B29" s="4" t="s">
        <v>35</v>
      </c>
    </row>
    <row r="30" customFormat="false" ht="15" hidden="false" customHeight="false" outlineLevel="0" collapsed="false">
      <c r="A30" s="5" t="s">
        <v>36</v>
      </c>
      <c r="B30" s="4" t="s">
        <v>35</v>
      </c>
    </row>
    <row r="31" customFormat="false" ht="15" hidden="false" customHeight="false" outlineLevel="0" collapsed="false">
      <c r="A31" s="5" t="s">
        <v>37</v>
      </c>
      <c r="B31" s="4" t="s">
        <v>35</v>
      </c>
    </row>
    <row r="32" customFormat="false" ht="15" hidden="false" customHeight="false" outlineLevel="0" collapsed="false">
      <c r="A32" s="5" t="s">
        <v>38</v>
      </c>
      <c r="B32" s="4" t="s">
        <v>35</v>
      </c>
    </row>
    <row r="33" customFormat="false" ht="15" hidden="false" customHeight="false" outlineLevel="0" collapsed="false">
      <c r="A33" s="5" t="s">
        <v>39</v>
      </c>
      <c r="B33" s="4" t="s">
        <v>35</v>
      </c>
    </row>
    <row r="34" customFormat="false" ht="15" hidden="false" customHeight="false" outlineLevel="0" collapsed="false">
      <c r="A34" s="4"/>
      <c r="B34" s="4"/>
    </row>
    <row r="35" customFormat="false" ht="15" hidden="false" customHeight="false" outlineLevel="0" collapsed="false">
      <c r="A35" s="5" t="s">
        <v>40</v>
      </c>
      <c r="B35" s="4"/>
    </row>
    <row r="36" customFormat="false" ht="15" hidden="false" customHeight="false" outlineLevel="0" collapsed="false">
      <c r="A36" s="4"/>
      <c r="B36" s="4" t="s">
        <v>41</v>
      </c>
    </row>
    <row r="37" customFormat="false" ht="15" hidden="false" customHeight="false" outlineLevel="0" collapsed="false">
      <c r="A37" s="4"/>
      <c r="B37" s="4"/>
    </row>
    <row r="38" customFormat="false" ht="15" hidden="false" customHeight="false" outlineLevel="0" collapsed="false">
      <c r="A38" s="5" t="s">
        <v>42</v>
      </c>
      <c r="B38" s="4"/>
    </row>
    <row r="39" customFormat="false" ht="46.25" hidden="false" customHeight="false" outlineLevel="0" collapsed="false">
      <c r="A39" s="4"/>
      <c r="B39" s="4" t="s">
        <v>43</v>
      </c>
    </row>
    <row r="40" customFormat="false" ht="15" hidden="false" customHeight="false" outlineLevel="0" collapsed="false">
      <c r="A40" s="4"/>
      <c r="B40" s="4"/>
    </row>
    <row r="41" customFormat="false" ht="15" hidden="false" customHeight="false" outlineLevel="0" collapsed="false">
      <c r="A41" s="5" t="s">
        <v>44</v>
      </c>
      <c r="B41" s="4"/>
    </row>
    <row r="42" customFormat="false" ht="23.85" hidden="false" customHeight="false" outlineLevel="0" collapsed="false">
      <c r="A42" s="4"/>
      <c r="B42" s="4"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1"/>
    <col collapsed="false" customWidth="true" hidden="false" outlineLevel="0" max="4" min="4" style="0" width="62"/>
    <col collapsed="false" customWidth="true" hidden="false" outlineLevel="0" max="5" min="5" style="0" width="92"/>
    <col collapsed="false" customWidth="true" hidden="false" outlineLevel="0" max="6" min="6" style="0" width="46"/>
    <col collapsed="false" customWidth="true" hidden="false" outlineLevel="0" max="7" min="7" style="0" width="34"/>
    <col collapsed="false" customWidth="true" hidden="false" outlineLevel="0" max="8" min="8" style="0" width="52"/>
    <col collapsed="false" customWidth="true" hidden="false" outlineLevel="0" max="9" min="9" style="0" width="13"/>
  </cols>
  <sheetData>
    <row r="1" customFormat="false" ht="30" hidden="false" customHeight="true" outlineLevel="0" collapsed="false">
      <c r="A1" s="6" t="s">
        <v>46</v>
      </c>
      <c r="B1" s="6" t="s">
        <v>47</v>
      </c>
      <c r="C1" s="6" t="s">
        <v>48</v>
      </c>
      <c r="D1" s="6" t="s">
        <v>49</v>
      </c>
      <c r="E1" s="6" t="s">
        <v>50</v>
      </c>
      <c r="F1" s="6" t="s">
        <v>51</v>
      </c>
      <c r="G1" s="6" t="s">
        <v>52</v>
      </c>
      <c r="H1" s="6" t="s">
        <v>53</v>
      </c>
      <c r="I1" s="6" t="s">
        <v>54</v>
      </c>
    </row>
    <row r="2" customFormat="false" ht="117.75" hidden="false" customHeight="true" outlineLevel="0" collapsed="false">
      <c r="A2" s="7" t="s">
        <v>55</v>
      </c>
      <c r="B2" s="8" t="n">
        <v>1</v>
      </c>
      <c r="C2" s="7" t="s">
        <v>56</v>
      </c>
      <c r="D2" s="9" t="s">
        <v>57</v>
      </c>
      <c r="E2" s="9" t="s">
        <v>58</v>
      </c>
      <c r="F2" s="9" t="s">
        <v>59</v>
      </c>
      <c r="G2" s="9" t="s">
        <v>60</v>
      </c>
      <c r="H2" s="9" t="s">
        <v>61</v>
      </c>
      <c r="I2" s="9" t="s">
        <v>62</v>
      </c>
    </row>
    <row r="3" customFormat="false" ht="117.75" hidden="false" customHeight="true" outlineLevel="0" collapsed="false">
      <c r="A3" s="7" t="s">
        <v>63</v>
      </c>
      <c r="B3" s="8" t="n">
        <v>1</v>
      </c>
      <c r="C3" s="7" t="s">
        <v>56</v>
      </c>
      <c r="D3" s="9" t="s">
        <v>64</v>
      </c>
      <c r="E3" s="9" t="s">
        <v>65</v>
      </c>
      <c r="F3" s="9" t="s">
        <v>66</v>
      </c>
      <c r="G3" s="9" t="s">
        <v>60</v>
      </c>
      <c r="H3" s="9" t="s">
        <v>61</v>
      </c>
      <c r="I3" s="9" t="s">
        <v>62</v>
      </c>
    </row>
    <row r="4" customFormat="false" ht="117.75" hidden="false" customHeight="true" outlineLevel="0" collapsed="false">
      <c r="A4" s="7" t="s">
        <v>67</v>
      </c>
      <c r="B4" s="8" t="n">
        <v>1</v>
      </c>
      <c r="C4" s="7" t="s">
        <v>56</v>
      </c>
      <c r="D4" s="9" t="s">
        <v>68</v>
      </c>
      <c r="E4" s="9" t="s">
        <v>69</v>
      </c>
      <c r="F4" s="9" t="s">
        <v>70</v>
      </c>
      <c r="G4" s="9" t="s">
        <v>71</v>
      </c>
      <c r="H4" s="9" t="s">
        <v>61</v>
      </c>
      <c r="I4" s="9" t="s">
        <v>72</v>
      </c>
    </row>
    <row r="5" customFormat="false" ht="117.75" hidden="false" customHeight="true" outlineLevel="0" collapsed="false">
      <c r="A5" s="7" t="s">
        <v>73</v>
      </c>
      <c r="B5" s="8" t="n">
        <v>1</v>
      </c>
      <c r="C5" s="7" t="s">
        <v>56</v>
      </c>
      <c r="D5" s="9" t="s">
        <v>74</v>
      </c>
      <c r="E5" s="9" t="s">
        <v>75</v>
      </c>
      <c r="F5" s="9" t="s">
        <v>76</v>
      </c>
      <c r="G5" s="9" t="s">
        <v>60</v>
      </c>
      <c r="H5" s="9" t="s">
        <v>61</v>
      </c>
      <c r="I5" s="9" t="s">
        <v>62</v>
      </c>
    </row>
    <row r="6" customFormat="false" ht="117.75" hidden="false" customHeight="true" outlineLevel="0" collapsed="false">
      <c r="A6" s="7" t="s">
        <v>77</v>
      </c>
      <c r="B6" s="8" t="n">
        <v>1</v>
      </c>
      <c r="C6" s="7" t="s">
        <v>56</v>
      </c>
      <c r="D6" s="9" t="s">
        <v>78</v>
      </c>
      <c r="E6" s="9" t="s">
        <v>79</v>
      </c>
      <c r="F6" s="9" t="s">
        <v>80</v>
      </c>
      <c r="G6" s="9" t="s">
        <v>71</v>
      </c>
      <c r="H6" s="9" t="s">
        <v>61</v>
      </c>
      <c r="I6" s="9" t="s">
        <v>72</v>
      </c>
    </row>
    <row r="7" customFormat="false" ht="117.75" hidden="false" customHeight="true" outlineLevel="0" collapsed="false">
      <c r="A7" s="7" t="s">
        <v>81</v>
      </c>
      <c r="B7" s="8" t="n">
        <v>1</v>
      </c>
      <c r="C7" s="7" t="s">
        <v>56</v>
      </c>
      <c r="D7" s="9" t="s">
        <v>82</v>
      </c>
      <c r="E7" s="9" t="s">
        <v>83</v>
      </c>
      <c r="F7" s="9" t="s">
        <v>84</v>
      </c>
      <c r="G7" s="9" t="s">
        <v>71</v>
      </c>
      <c r="H7" s="9" t="s">
        <v>61</v>
      </c>
      <c r="I7" s="9" t="s">
        <v>72</v>
      </c>
    </row>
    <row r="8" customFormat="false" ht="117.75" hidden="false" customHeight="true" outlineLevel="0" collapsed="false">
      <c r="A8" s="7" t="s">
        <v>85</v>
      </c>
      <c r="B8" s="8" t="n">
        <v>1</v>
      </c>
      <c r="C8" s="7" t="s">
        <v>56</v>
      </c>
      <c r="D8" s="9" t="s">
        <v>86</v>
      </c>
      <c r="E8" s="9" t="s">
        <v>87</v>
      </c>
      <c r="F8" s="9" t="s">
        <v>88</v>
      </c>
      <c r="G8" s="9" t="s">
        <v>71</v>
      </c>
      <c r="H8" s="9" t="s">
        <v>61</v>
      </c>
      <c r="I8" s="9" t="s">
        <v>72</v>
      </c>
    </row>
    <row r="9" customFormat="false" ht="117.75" hidden="false" customHeight="true" outlineLevel="0" collapsed="false">
      <c r="A9" s="7" t="s">
        <v>89</v>
      </c>
      <c r="B9" s="8" t="n">
        <v>1</v>
      </c>
      <c r="C9" s="7" t="s">
        <v>56</v>
      </c>
      <c r="D9" s="9" t="s">
        <v>90</v>
      </c>
      <c r="E9" s="9" t="s">
        <v>91</v>
      </c>
      <c r="F9" s="9" t="s">
        <v>92</v>
      </c>
      <c r="G9" s="9" t="s">
        <v>60</v>
      </c>
      <c r="H9" s="9" t="s">
        <v>61</v>
      </c>
      <c r="I9" s="9" t="s">
        <v>62</v>
      </c>
    </row>
    <row r="10" customFormat="false" ht="117.75" hidden="false" customHeight="true" outlineLevel="0" collapsed="false">
      <c r="A10" s="7" t="s">
        <v>93</v>
      </c>
      <c r="B10" s="8" t="n">
        <v>1</v>
      </c>
      <c r="C10" s="7" t="s">
        <v>56</v>
      </c>
      <c r="D10" s="9" t="s">
        <v>94</v>
      </c>
      <c r="E10" s="9" t="s">
        <v>95</v>
      </c>
      <c r="F10" s="9" t="s">
        <v>96</v>
      </c>
      <c r="G10" s="9" t="s">
        <v>97</v>
      </c>
      <c r="H10" s="9" t="s">
        <v>61</v>
      </c>
      <c r="I10" s="9" t="s">
        <v>72</v>
      </c>
    </row>
    <row r="11" customFormat="false" ht="117.75" hidden="false" customHeight="true" outlineLevel="0" collapsed="false">
      <c r="A11" s="7" t="s">
        <v>98</v>
      </c>
      <c r="B11" s="8" t="n">
        <v>1</v>
      </c>
      <c r="C11" s="7" t="s">
        <v>56</v>
      </c>
      <c r="D11" s="9" t="s">
        <v>99</v>
      </c>
      <c r="E11" s="9" t="s">
        <v>100</v>
      </c>
      <c r="F11" s="9" t="s">
        <v>101</v>
      </c>
      <c r="G11" s="9" t="s">
        <v>71</v>
      </c>
      <c r="H11" s="9" t="s">
        <v>61</v>
      </c>
      <c r="I11" s="9" t="s">
        <v>72</v>
      </c>
    </row>
    <row r="12" customFormat="false" ht="117.75" hidden="false" customHeight="true" outlineLevel="0" collapsed="false">
      <c r="A12" s="10" t="s">
        <v>102</v>
      </c>
      <c r="B12" s="11" t="n">
        <v>2</v>
      </c>
      <c r="C12" s="10" t="s">
        <v>103</v>
      </c>
      <c r="D12" s="9" t="s">
        <v>104</v>
      </c>
      <c r="E12" s="9" t="s">
        <v>105</v>
      </c>
      <c r="F12" s="9" t="s">
        <v>106</v>
      </c>
      <c r="G12" s="9" t="s">
        <v>60</v>
      </c>
      <c r="H12" s="9" t="s">
        <v>61</v>
      </c>
      <c r="I12" s="9" t="s">
        <v>62</v>
      </c>
    </row>
    <row r="13" customFormat="false" ht="117.75" hidden="false" customHeight="true" outlineLevel="0" collapsed="false">
      <c r="A13" s="10" t="s">
        <v>107</v>
      </c>
      <c r="B13" s="11" t="n">
        <v>2</v>
      </c>
      <c r="C13" s="10" t="s">
        <v>103</v>
      </c>
      <c r="D13" s="9" t="s">
        <v>108</v>
      </c>
      <c r="E13" s="9" t="s">
        <v>109</v>
      </c>
      <c r="F13" s="9" t="s">
        <v>110</v>
      </c>
      <c r="G13" s="9" t="s">
        <v>71</v>
      </c>
      <c r="H13" s="9" t="s">
        <v>61</v>
      </c>
      <c r="I13" s="9" t="s">
        <v>72</v>
      </c>
    </row>
    <row r="14" customFormat="false" ht="117.75" hidden="false" customHeight="true" outlineLevel="0" collapsed="false">
      <c r="A14" s="10" t="s">
        <v>111</v>
      </c>
      <c r="B14" s="11" t="n">
        <v>2</v>
      </c>
      <c r="C14" s="10" t="s">
        <v>103</v>
      </c>
      <c r="D14" s="9" t="s">
        <v>112</v>
      </c>
      <c r="E14" s="9" t="s">
        <v>113</v>
      </c>
      <c r="F14" s="9" t="s">
        <v>114</v>
      </c>
      <c r="G14" s="9" t="s">
        <v>60</v>
      </c>
      <c r="H14" s="9" t="s">
        <v>61</v>
      </c>
      <c r="I14" s="9" t="s">
        <v>62</v>
      </c>
    </row>
    <row r="15" customFormat="false" ht="117.75" hidden="false" customHeight="true" outlineLevel="0" collapsed="false">
      <c r="A15" s="10" t="s">
        <v>115</v>
      </c>
      <c r="B15" s="11" t="n">
        <v>2</v>
      </c>
      <c r="C15" s="10" t="s">
        <v>103</v>
      </c>
      <c r="D15" s="9" t="s">
        <v>116</v>
      </c>
      <c r="E15" s="9" t="s">
        <v>117</v>
      </c>
      <c r="F15" s="9" t="s">
        <v>118</v>
      </c>
      <c r="G15" s="9" t="s">
        <v>60</v>
      </c>
      <c r="H15" s="9" t="s">
        <v>61</v>
      </c>
      <c r="I15" s="9" t="s">
        <v>62</v>
      </c>
    </row>
    <row r="16" customFormat="false" ht="117.75" hidden="false" customHeight="true" outlineLevel="0" collapsed="false">
      <c r="A16" s="10" t="s">
        <v>119</v>
      </c>
      <c r="B16" s="11" t="n">
        <v>2</v>
      </c>
      <c r="C16" s="10" t="s">
        <v>103</v>
      </c>
      <c r="D16" s="9" t="s">
        <v>120</v>
      </c>
      <c r="E16" s="9" t="s">
        <v>121</v>
      </c>
      <c r="F16" s="9" t="s">
        <v>122</v>
      </c>
      <c r="G16" s="9" t="s">
        <v>97</v>
      </c>
      <c r="H16" s="9" t="s">
        <v>61</v>
      </c>
      <c r="I16" s="9" t="s">
        <v>72</v>
      </c>
    </row>
    <row r="17" customFormat="false" ht="117.75" hidden="false" customHeight="true" outlineLevel="0" collapsed="false">
      <c r="A17" s="10" t="s">
        <v>123</v>
      </c>
      <c r="B17" s="11" t="n">
        <v>2</v>
      </c>
      <c r="C17" s="10" t="s">
        <v>103</v>
      </c>
      <c r="D17" s="9" t="s">
        <v>124</v>
      </c>
      <c r="E17" s="9" t="s">
        <v>125</v>
      </c>
      <c r="F17" s="9" t="s">
        <v>126</v>
      </c>
      <c r="G17" s="9" t="s">
        <v>71</v>
      </c>
      <c r="H17" s="9" t="s">
        <v>61</v>
      </c>
      <c r="I17" s="9" t="s">
        <v>72</v>
      </c>
    </row>
    <row r="18" customFormat="false" ht="117.75" hidden="false" customHeight="true" outlineLevel="0" collapsed="false">
      <c r="A18" s="10" t="s">
        <v>127</v>
      </c>
      <c r="B18" s="11" t="n">
        <v>2</v>
      </c>
      <c r="C18" s="10" t="s">
        <v>103</v>
      </c>
      <c r="D18" s="9" t="s">
        <v>128</v>
      </c>
      <c r="E18" s="9" t="s">
        <v>129</v>
      </c>
      <c r="F18" s="9" t="s">
        <v>130</v>
      </c>
      <c r="G18" s="9" t="s">
        <v>97</v>
      </c>
      <c r="H18" s="9" t="s">
        <v>61</v>
      </c>
      <c r="I18" s="9" t="s">
        <v>72</v>
      </c>
    </row>
    <row r="19" customFormat="false" ht="117.75" hidden="false" customHeight="true" outlineLevel="0" collapsed="false">
      <c r="A19" s="10" t="s">
        <v>131</v>
      </c>
      <c r="B19" s="11" t="n">
        <v>2</v>
      </c>
      <c r="C19" s="10" t="s">
        <v>103</v>
      </c>
      <c r="D19" s="9" t="s">
        <v>132</v>
      </c>
      <c r="E19" s="9" t="s">
        <v>133</v>
      </c>
      <c r="F19" s="9" t="s">
        <v>134</v>
      </c>
      <c r="G19" s="9" t="s">
        <v>71</v>
      </c>
      <c r="H19" s="9" t="s">
        <v>61</v>
      </c>
      <c r="I19" s="9" t="s">
        <v>72</v>
      </c>
    </row>
    <row r="20" customFormat="false" ht="117.75" hidden="false" customHeight="true" outlineLevel="0" collapsed="false">
      <c r="A20" s="10" t="s">
        <v>135</v>
      </c>
      <c r="B20" s="11" t="n">
        <v>2</v>
      </c>
      <c r="C20" s="10" t="s">
        <v>103</v>
      </c>
      <c r="D20" s="9" t="s">
        <v>136</v>
      </c>
      <c r="E20" s="9" t="s">
        <v>137</v>
      </c>
      <c r="F20" s="9" t="s">
        <v>138</v>
      </c>
      <c r="G20" s="9" t="s">
        <v>97</v>
      </c>
      <c r="H20" s="9" t="s">
        <v>61</v>
      </c>
      <c r="I20" s="9" t="s">
        <v>72</v>
      </c>
    </row>
    <row r="21" customFormat="false" ht="117.75" hidden="false" customHeight="true" outlineLevel="0" collapsed="false">
      <c r="A21" s="10" t="s">
        <v>139</v>
      </c>
      <c r="B21" s="11" t="n">
        <v>2</v>
      </c>
      <c r="C21" s="10" t="s">
        <v>103</v>
      </c>
      <c r="D21" s="9" t="s">
        <v>140</v>
      </c>
      <c r="E21" s="9" t="s">
        <v>141</v>
      </c>
      <c r="F21" s="9" t="s">
        <v>142</v>
      </c>
      <c r="G21" s="9" t="s">
        <v>60</v>
      </c>
      <c r="H21" s="9" t="s">
        <v>61</v>
      </c>
      <c r="I21" s="9" t="s">
        <v>62</v>
      </c>
    </row>
    <row r="22" customFormat="false" ht="117.75" hidden="false" customHeight="true" outlineLevel="0" collapsed="false">
      <c r="A22" s="12" t="s">
        <v>143</v>
      </c>
      <c r="B22" s="13" t="n">
        <v>3</v>
      </c>
      <c r="C22" s="12" t="s">
        <v>144</v>
      </c>
      <c r="D22" s="9" t="s">
        <v>145</v>
      </c>
      <c r="E22" s="9" t="s">
        <v>146</v>
      </c>
      <c r="F22" s="9" t="s">
        <v>147</v>
      </c>
      <c r="G22" s="9" t="s">
        <v>71</v>
      </c>
      <c r="H22" s="9" t="s">
        <v>61</v>
      </c>
      <c r="I22" s="9" t="s">
        <v>72</v>
      </c>
    </row>
    <row r="23" customFormat="false" ht="117.75" hidden="false" customHeight="true" outlineLevel="0" collapsed="false">
      <c r="A23" s="12" t="s">
        <v>148</v>
      </c>
      <c r="B23" s="13" t="n">
        <v>3</v>
      </c>
      <c r="C23" s="12" t="s">
        <v>144</v>
      </c>
      <c r="D23" s="9" t="s">
        <v>149</v>
      </c>
      <c r="E23" s="9" t="s">
        <v>150</v>
      </c>
      <c r="F23" s="9" t="s">
        <v>151</v>
      </c>
      <c r="G23" s="9" t="s">
        <v>97</v>
      </c>
      <c r="H23" s="9" t="s">
        <v>61</v>
      </c>
      <c r="I23" s="9" t="s">
        <v>72</v>
      </c>
    </row>
    <row r="24" customFormat="false" ht="117.75" hidden="false" customHeight="true" outlineLevel="0" collapsed="false">
      <c r="A24" s="12" t="s">
        <v>152</v>
      </c>
      <c r="B24" s="13" t="n">
        <v>3</v>
      </c>
      <c r="C24" s="12" t="s">
        <v>144</v>
      </c>
      <c r="D24" s="9" t="s">
        <v>153</v>
      </c>
      <c r="E24" s="9" t="s">
        <v>154</v>
      </c>
      <c r="F24" s="9" t="s">
        <v>155</v>
      </c>
      <c r="G24" s="9" t="s">
        <v>60</v>
      </c>
      <c r="H24" s="9" t="s">
        <v>61</v>
      </c>
      <c r="I24" s="9" t="s">
        <v>62</v>
      </c>
    </row>
    <row r="25" customFormat="false" ht="117.75" hidden="false" customHeight="true" outlineLevel="0" collapsed="false">
      <c r="A25" s="12" t="s">
        <v>156</v>
      </c>
      <c r="B25" s="13" t="n">
        <v>3</v>
      </c>
      <c r="C25" s="12" t="s">
        <v>144</v>
      </c>
      <c r="D25" s="9" t="s">
        <v>157</v>
      </c>
      <c r="E25" s="9" t="s">
        <v>158</v>
      </c>
      <c r="F25" s="9" t="s">
        <v>159</v>
      </c>
      <c r="G25" s="9" t="s">
        <v>60</v>
      </c>
      <c r="H25" s="9" t="s">
        <v>61</v>
      </c>
      <c r="I25" s="9" t="s">
        <v>62</v>
      </c>
    </row>
    <row r="26" customFormat="false" ht="117.75" hidden="false" customHeight="true" outlineLevel="0" collapsed="false">
      <c r="A26" s="12" t="s">
        <v>160</v>
      </c>
      <c r="B26" s="13" t="n">
        <v>3</v>
      </c>
      <c r="C26" s="12" t="s">
        <v>144</v>
      </c>
      <c r="D26" s="9" t="s">
        <v>161</v>
      </c>
      <c r="E26" s="9" t="s">
        <v>162</v>
      </c>
      <c r="F26" s="9" t="s">
        <v>163</v>
      </c>
      <c r="G26" s="9" t="s">
        <v>60</v>
      </c>
      <c r="H26" s="9" t="s">
        <v>61</v>
      </c>
      <c r="I26" s="9" t="s">
        <v>72</v>
      </c>
    </row>
    <row r="27" customFormat="false" ht="117.75" hidden="false" customHeight="true" outlineLevel="0" collapsed="false">
      <c r="A27" s="12" t="s">
        <v>164</v>
      </c>
      <c r="B27" s="13" t="n">
        <v>3</v>
      </c>
      <c r="C27" s="12" t="s">
        <v>144</v>
      </c>
      <c r="D27" s="9" t="s">
        <v>165</v>
      </c>
      <c r="E27" s="9" t="s">
        <v>166</v>
      </c>
      <c r="F27" s="9" t="s">
        <v>167</v>
      </c>
      <c r="G27" s="9" t="s">
        <v>71</v>
      </c>
      <c r="H27" s="9" t="s">
        <v>61</v>
      </c>
      <c r="I27" s="9" t="s">
        <v>72</v>
      </c>
    </row>
    <row r="28" customFormat="false" ht="117.75" hidden="false" customHeight="true" outlineLevel="0" collapsed="false">
      <c r="A28" s="12" t="s">
        <v>168</v>
      </c>
      <c r="B28" s="13" t="n">
        <v>3</v>
      </c>
      <c r="C28" s="12" t="s">
        <v>144</v>
      </c>
      <c r="D28" s="9" t="s">
        <v>169</v>
      </c>
      <c r="E28" s="9" t="s">
        <v>170</v>
      </c>
      <c r="F28" s="9" t="s">
        <v>171</v>
      </c>
      <c r="G28" s="9" t="s">
        <v>60</v>
      </c>
      <c r="H28" s="9" t="s">
        <v>61</v>
      </c>
      <c r="I28" s="9" t="s">
        <v>72</v>
      </c>
    </row>
    <row r="29" customFormat="false" ht="117.75" hidden="false" customHeight="true" outlineLevel="0" collapsed="false">
      <c r="A29" s="12" t="s">
        <v>172</v>
      </c>
      <c r="B29" s="13" t="n">
        <v>3</v>
      </c>
      <c r="C29" s="12" t="s">
        <v>144</v>
      </c>
      <c r="D29" s="9" t="s">
        <v>173</v>
      </c>
      <c r="E29" s="9" t="s">
        <v>174</v>
      </c>
      <c r="F29" s="9" t="s">
        <v>175</v>
      </c>
      <c r="G29" s="9" t="s">
        <v>60</v>
      </c>
      <c r="H29" s="9" t="s">
        <v>61</v>
      </c>
      <c r="I29" s="9" t="s">
        <v>62</v>
      </c>
    </row>
    <row r="30" customFormat="false" ht="117.75" hidden="false" customHeight="true" outlineLevel="0" collapsed="false">
      <c r="A30" s="12" t="s">
        <v>176</v>
      </c>
      <c r="B30" s="13" t="n">
        <v>3</v>
      </c>
      <c r="C30" s="12" t="s">
        <v>144</v>
      </c>
      <c r="D30" s="9" t="s">
        <v>177</v>
      </c>
      <c r="E30" s="9" t="s">
        <v>178</v>
      </c>
      <c r="F30" s="9" t="s">
        <v>179</v>
      </c>
      <c r="G30" s="9" t="s">
        <v>71</v>
      </c>
      <c r="H30" s="9" t="s">
        <v>61</v>
      </c>
      <c r="I30" s="9" t="s">
        <v>72</v>
      </c>
    </row>
    <row r="31" customFormat="false" ht="117.75" hidden="false" customHeight="true" outlineLevel="0" collapsed="false">
      <c r="A31" s="12" t="s">
        <v>180</v>
      </c>
      <c r="B31" s="13" t="n">
        <v>3</v>
      </c>
      <c r="C31" s="12" t="s">
        <v>144</v>
      </c>
      <c r="D31" s="9" t="s">
        <v>181</v>
      </c>
      <c r="E31" s="9" t="s">
        <v>182</v>
      </c>
      <c r="F31" s="9" t="s">
        <v>183</v>
      </c>
      <c r="G31" s="9" t="s">
        <v>60</v>
      </c>
      <c r="H31" s="9" t="s">
        <v>61</v>
      </c>
      <c r="I31" s="9" t="s">
        <v>62</v>
      </c>
    </row>
    <row r="32" customFormat="false" ht="117.75" hidden="false" customHeight="true" outlineLevel="0" collapsed="false">
      <c r="A32" s="14" t="s">
        <v>184</v>
      </c>
      <c r="B32" s="15" t="n">
        <v>4</v>
      </c>
      <c r="C32" s="14" t="s">
        <v>185</v>
      </c>
      <c r="D32" s="9" t="s">
        <v>186</v>
      </c>
      <c r="E32" s="9" t="s">
        <v>187</v>
      </c>
      <c r="F32" s="9" t="s">
        <v>188</v>
      </c>
      <c r="G32" s="9" t="s">
        <v>60</v>
      </c>
      <c r="H32" s="9" t="s">
        <v>61</v>
      </c>
      <c r="I32" s="9" t="s">
        <v>62</v>
      </c>
    </row>
    <row r="33" customFormat="false" ht="117.75" hidden="false" customHeight="true" outlineLevel="0" collapsed="false">
      <c r="A33" s="14" t="s">
        <v>189</v>
      </c>
      <c r="B33" s="15" t="n">
        <v>4</v>
      </c>
      <c r="C33" s="14" t="s">
        <v>185</v>
      </c>
      <c r="D33" s="9" t="s">
        <v>190</v>
      </c>
      <c r="E33" s="9" t="s">
        <v>191</v>
      </c>
      <c r="F33" s="9" t="s">
        <v>192</v>
      </c>
      <c r="G33" s="9" t="s">
        <v>97</v>
      </c>
      <c r="H33" s="9" t="s">
        <v>61</v>
      </c>
      <c r="I33" s="9" t="s">
        <v>72</v>
      </c>
    </row>
    <row r="34" customFormat="false" ht="117.75" hidden="false" customHeight="true" outlineLevel="0" collapsed="false">
      <c r="A34" s="14" t="s">
        <v>193</v>
      </c>
      <c r="B34" s="15" t="n">
        <v>4</v>
      </c>
      <c r="C34" s="14" t="s">
        <v>185</v>
      </c>
      <c r="D34" s="9" t="s">
        <v>194</v>
      </c>
      <c r="E34" s="9" t="s">
        <v>195</v>
      </c>
      <c r="F34" s="9" t="s">
        <v>196</v>
      </c>
      <c r="G34" s="9" t="s">
        <v>71</v>
      </c>
      <c r="H34" s="9" t="s">
        <v>61</v>
      </c>
      <c r="I34" s="9" t="s">
        <v>72</v>
      </c>
    </row>
    <row r="35" customFormat="false" ht="117.75" hidden="false" customHeight="true" outlineLevel="0" collapsed="false">
      <c r="A35" s="14" t="s">
        <v>197</v>
      </c>
      <c r="B35" s="15" t="n">
        <v>4</v>
      </c>
      <c r="C35" s="14" t="s">
        <v>185</v>
      </c>
      <c r="D35" s="9" t="s">
        <v>198</v>
      </c>
      <c r="E35" s="9" t="s">
        <v>199</v>
      </c>
      <c r="F35" s="9" t="s">
        <v>200</v>
      </c>
      <c r="G35" s="9" t="s">
        <v>97</v>
      </c>
      <c r="H35" s="9" t="s">
        <v>61</v>
      </c>
      <c r="I35" s="9" t="s">
        <v>72</v>
      </c>
    </row>
    <row r="36" customFormat="false" ht="117.75" hidden="false" customHeight="true" outlineLevel="0" collapsed="false">
      <c r="A36" s="14" t="s">
        <v>201</v>
      </c>
      <c r="B36" s="15" t="n">
        <v>4</v>
      </c>
      <c r="C36" s="14" t="s">
        <v>185</v>
      </c>
      <c r="D36" s="9" t="s">
        <v>202</v>
      </c>
      <c r="E36" s="9" t="s">
        <v>203</v>
      </c>
      <c r="F36" s="9" t="s">
        <v>204</v>
      </c>
      <c r="G36" s="9" t="s">
        <v>60</v>
      </c>
      <c r="H36" s="9" t="s">
        <v>61</v>
      </c>
      <c r="I36" s="9" t="s">
        <v>62</v>
      </c>
    </row>
    <row r="37" customFormat="false" ht="117.75" hidden="false" customHeight="true" outlineLevel="0" collapsed="false">
      <c r="A37" s="14" t="s">
        <v>205</v>
      </c>
      <c r="B37" s="15" t="n">
        <v>4</v>
      </c>
      <c r="C37" s="14" t="s">
        <v>185</v>
      </c>
      <c r="D37" s="9" t="s">
        <v>206</v>
      </c>
      <c r="E37" s="9" t="s">
        <v>207</v>
      </c>
      <c r="F37" s="9" t="s">
        <v>208</v>
      </c>
      <c r="G37" s="9" t="s">
        <v>60</v>
      </c>
      <c r="H37" s="9" t="s">
        <v>61</v>
      </c>
      <c r="I37" s="9" t="s">
        <v>72</v>
      </c>
    </row>
    <row r="38" customFormat="false" ht="117.75" hidden="false" customHeight="true" outlineLevel="0" collapsed="false">
      <c r="A38" s="14" t="s">
        <v>209</v>
      </c>
      <c r="B38" s="15" t="n">
        <v>4</v>
      </c>
      <c r="C38" s="14" t="s">
        <v>185</v>
      </c>
      <c r="D38" s="9" t="s">
        <v>210</v>
      </c>
      <c r="E38" s="9" t="s">
        <v>211</v>
      </c>
      <c r="F38" s="9" t="s">
        <v>212</v>
      </c>
      <c r="G38" s="9" t="s">
        <v>60</v>
      </c>
      <c r="H38" s="9" t="s">
        <v>61</v>
      </c>
      <c r="I38" s="9" t="s">
        <v>62</v>
      </c>
    </row>
    <row r="39" customFormat="false" ht="117.75" hidden="false" customHeight="true" outlineLevel="0" collapsed="false">
      <c r="A39" s="14" t="s">
        <v>213</v>
      </c>
      <c r="B39" s="15" t="n">
        <v>4</v>
      </c>
      <c r="C39" s="14" t="s">
        <v>185</v>
      </c>
      <c r="D39" s="9" t="s">
        <v>214</v>
      </c>
      <c r="E39" s="9" t="s">
        <v>215</v>
      </c>
      <c r="F39" s="9" t="s">
        <v>216</v>
      </c>
      <c r="G39" s="9" t="s">
        <v>60</v>
      </c>
      <c r="H39" s="9" t="s">
        <v>61</v>
      </c>
      <c r="I39" s="9" t="s">
        <v>62</v>
      </c>
    </row>
    <row r="40" customFormat="false" ht="117.75" hidden="false" customHeight="true" outlineLevel="0" collapsed="false">
      <c r="A40" s="14" t="s">
        <v>217</v>
      </c>
      <c r="B40" s="15" t="n">
        <v>4</v>
      </c>
      <c r="C40" s="14" t="s">
        <v>185</v>
      </c>
      <c r="D40" s="9" t="s">
        <v>218</v>
      </c>
      <c r="E40" s="9" t="s">
        <v>219</v>
      </c>
      <c r="F40" s="9" t="s">
        <v>220</v>
      </c>
      <c r="G40" s="9" t="s">
        <v>60</v>
      </c>
      <c r="H40" s="9" t="s">
        <v>61</v>
      </c>
      <c r="I40" s="9" t="s">
        <v>72</v>
      </c>
    </row>
    <row r="41" customFormat="false" ht="117.75" hidden="false" customHeight="true" outlineLevel="0" collapsed="false">
      <c r="A41" s="14" t="s">
        <v>221</v>
      </c>
      <c r="B41" s="15" t="n">
        <v>4</v>
      </c>
      <c r="C41" s="14" t="s">
        <v>185</v>
      </c>
      <c r="D41" s="9" t="s">
        <v>222</v>
      </c>
      <c r="E41" s="9" t="s">
        <v>223</v>
      </c>
      <c r="F41" s="9" t="s">
        <v>224</v>
      </c>
      <c r="G41" s="9" t="s">
        <v>71</v>
      </c>
      <c r="H41" s="9" t="s">
        <v>61</v>
      </c>
      <c r="I41" s="9" t="s">
        <v>72</v>
      </c>
    </row>
    <row r="42" customFormat="false" ht="117.75" hidden="false" customHeight="true" outlineLevel="0" collapsed="false">
      <c r="A42" s="16" t="s">
        <v>225</v>
      </c>
      <c r="B42" s="17" t="n">
        <v>5</v>
      </c>
      <c r="C42" s="16" t="s">
        <v>226</v>
      </c>
      <c r="D42" s="9" t="s">
        <v>227</v>
      </c>
      <c r="E42" s="9" t="s">
        <v>228</v>
      </c>
      <c r="F42" s="9" t="s">
        <v>229</v>
      </c>
      <c r="G42" s="9" t="s">
        <v>60</v>
      </c>
      <c r="H42" s="9" t="s">
        <v>230</v>
      </c>
      <c r="I42" s="9" t="s">
        <v>62</v>
      </c>
    </row>
    <row r="43" customFormat="false" ht="117.75" hidden="false" customHeight="true" outlineLevel="0" collapsed="false">
      <c r="A43" s="16" t="s">
        <v>231</v>
      </c>
      <c r="B43" s="17" t="n">
        <v>5</v>
      </c>
      <c r="C43" s="16" t="s">
        <v>226</v>
      </c>
      <c r="D43" s="9" t="s">
        <v>232</v>
      </c>
      <c r="E43" s="9" t="s">
        <v>233</v>
      </c>
      <c r="F43" s="9" t="s">
        <v>234</v>
      </c>
      <c r="G43" s="9" t="s">
        <v>60</v>
      </c>
      <c r="H43" s="9" t="s">
        <v>235</v>
      </c>
      <c r="I43" s="9" t="s">
        <v>62</v>
      </c>
    </row>
    <row r="44" customFormat="false" ht="117.75" hidden="false" customHeight="true" outlineLevel="0" collapsed="false">
      <c r="A44" s="16" t="s">
        <v>236</v>
      </c>
      <c r="B44" s="17" t="n">
        <v>5</v>
      </c>
      <c r="C44" s="16" t="s">
        <v>226</v>
      </c>
      <c r="D44" s="9" t="s">
        <v>237</v>
      </c>
      <c r="E44" s="9" t="s">
        <v>238</v>
      </c>
      <c r="F44" s="9" t="s">
        <v>239</v>
      </c>
      <c r="G44" s="9" t="s">
        <v>97</v>
      </c>
      <c r="H44" s="9" t="s">
        <v>240</v>
      </c>
      <c r="I44" s="9" t="s">
        <v>72</v>
      </c>
    </row>
    <row r="45" customFormat="false" ht="117.75" hidden="false" customHeight="true" outlineLevel="0" collapsed="false">
      <c r="A45" s="16" t="s">
        <v>241</v>
      </c>
      <c r="B45" s="17" t="n">
        <v>5</v>
      </c>
      <c r="C45" s="16" t="s">
        <v>226</v>
      </c>
      <c r="D45" s="9" t="s">
        <v>242</v>
      </c>
      <c r="E45" s="9" t="s">
        <v>243</v>
      </c>
      <c r="F45" s="9" t="s">
        <v>244</v>
      </c>
      <c r="G45" s="9" t="s">
        <v>60</v>
      </c>
      <c r="H45" s="9" t="s">
        <v>245</v>
      </c>
      <c r="I45" s="9" t="s">
        <v>62</v>
      </c>
    </row>
    <row r="46" customFormat="false" ht="117.75" hidden="false" customHeight="true" outlineLevel="0" collapsed="false">
      <c r="A46" s="16" t="s">
        <v>246</v>
      </c>
      <c r="B46" s="17" t="n">
        <v>5</v>
      </c>
      <c r="C46" s="16" t="s">
        <v>226</v>
      </c>
      <c r="D46" s="9" t="s">
        <v>247</v>
      </c>
      <c r="E46" s="9" t="s">
        <v>248</v>
      </c>
      <c r="F46" s="9" t="s">
        <v>179</v>
      </c>
      <c r="G46" s="9" t="s">
        <v>71</v>
      </c>
      <c r="H46" s="9" t="s">
        <v>249</v>
      </c>
      <c r="I46" s="9" t="s">
        <v>72</v>
      </c>
    </row>
    <row r="47" customFormat="false" ht="117.75" hidden="false" customHeight="true" outlineLevel="0" collapsed="false">
      <c r="A47" s="16" t="s">
        <v>250</v>
      </c>
      <c r="B47" s="17" t="n">
        <v>5</v>
      </c>
      <c r="C47" s="16" t="s">
        <v>226</v>
      </c>
      <c r="D47" s="9" t="s">
        <v>251</v>
      </c>
      <c r="E47" s="9" t="s">
        <v>252</v>
      </c>
      <c r="F47" s="9" t="s">
        <v>253</v>
      </c>
      <c r="G47" s="9" t="s">
        <v>97</v>
      </c>
      <c r="H47" s="9" t="s">
        <v>254</v>
      </c>
      <c r="I47" s="9" t="s">
        <v>72</v>
      </c>
    </row>
    <row r="48" customFormat="false" ht="117.75" hidden="false" customHeight="true" outlineLevel="0" collapsed="false">
      <c r="A48" s="16" t="s">
        <v>255</v>
      </c>
      <c r="B48" s="17" t="n">
        <v>5</v>
      </c>
      <c r="C48" s="16" t="s">
        <v>226</v>
      </c>
      <c r="D48" s="9" t="s">
        <v>256</v>
      </c>
      <c r="E48" s="9" t="s">
        <v>257</v>
      </c>
      <c r="F48" s="9" t="s">
        <v>163</v>
      </c>
      <c r="G48" s="9" t="s">
        <v>60</v>
      </c>
      <c r="H48" s="9" t="s">
        <v>258</v>
      </c>
      <c r="I48" s="9" t="s">
        <v>72</v>
      </c>
    </row>
    <row r="49" customFormat="false" ht="117.75" hidden="false" customHeight="true" outlineLevel="0" collapsed="false">
      <c r="A49" s="16" t="s">
        <v>259</v>
      </c>
      <c r="B49" s="17" t="n">
        <v>5</v>
      </c>
      <c r="C49" s="16" t="s">
        <v>226</v>
      </c>
      <c r="D49" s="9" t="s">
        <v>260</v>
      </c>
      <c r="E49" s="9" t="s">
        <v>261</v>
      </c>
      <c r="F49" s="9" t="s">
        <v>262</v>
      </c>
      <c r="G49" s="9" t="s">
        <v>97</v>
      </c>
      <c r="H49" s="9" t="s">
        <v>263</v>
      </c>
      <c r="I49" s="9" t="s">
        <v>72</v>
      </c>
    </row>
    <row r="50" customFormat="false" ht="117.75" hidden="false" customHeight="true" outlineLevel="0" collapsed="false">
      <c r="A50" s="16" t="s">
        <v>264</v>
      </c>
      <c r="B50" s="17" t="n">
        <v>5</v>
      </c>
      <c r="C50" s="16" t="s">
        <v>226</v>
      </c>
      <c r="D50" s="9" t="s">
        <v>265</v>
      </c>
      <c r="E50" s="9" t="s">
        <v>266</v>
      </c>
      <c r="F50" s="9" t="s">
        <v>267</v>
      </c>
      <c r="G50" s="9" t="s">
        <v>60</v>
      </c>
      <c r="H50" s="9" t="s">
        <v>268</v>
      </c>
      <c r="I50" s="9" t="s">
        <v>72</v>
      </c>
    </row>
    <row r="51" customFormat="false" ht="117.75" hidden="false" customHeight="true" outlineLevel="0" collapsed="false">
      <c r="A51" s="16" t="s">
        <v>269</v>
      </c>
      <c r="B51" s="17" t="n">
        <v>5</v>
      </c>
      <c r="C51" s="16" t="s">
        <v>226</v>
      </c>
      <c r="D51" s="9" t="s">
        <v>270</v>
      </c>
      <c r="E51" s="9" t="s">
        <v>271</v>
      </c>
      <c r="F51" s="9" t="s">
        <v>188</v>
      </c>
      <c r="G51" s="9" t="s">
        <v>60</v>
      </c>
      <c r="H51" s="9" t="s">
        <v>272</v>
      </c>
      <c r="I51" s="9" t="s">
        <v>62</v>
      </c>
    </row>
  </sheetData>
  <autoFilter ref="A1:I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2"/>
    <col collapsed="false" customWidth="true" hidden="false" outlineLevel="0" max="3" min="3" style="0" width="40"/>
    <col collapsed="false" customWidth="true" hidden="false" outlineLevel="0" max="4" min="4" style="0" width="42"/>
    <col collapsed="false" customWidth="true" hidden="false" outlineLevel="0" max="5" min="5" style="0" width="24"/>
    <col collapsed="false" customWidth="true" hidden="false" outlineLevel="0" max="6" min="6" style="0" width="58"/>
  </cols>
  <sheetData>
    <row r="1" customFormat="false" ht="30" hidden="false" customHeight="true" outlineLevel="0" collapsed="false">
      <c r="A1" s="6" t="s">
        <v>273</v>
      </c>
      <c r="B1" s="6" t="s">
        <v>274</v>
      </c>
      <c r="C1" s="6" t="s">
        <v>275</v>
      </c>
      <c r="D1" s="6" t="s">
        <v>276</v>
      </c>
      <c r="E1" s="6" t="s">
        <v>277</v>
      </c>
      <c r="F1" s="6" t="s">
        <v>52</v>
      </c>
    </row>
    <row r="2" customFormat="false" ht="30" hidden="false" customHeight="true" outlineLevel="0" collapsed="false">
      <c r="A2" s="9" t="s">
        <v>278</v>
      </c>
      <c r="B2" s="9" t="s">
        <v>279</v>
      </c>
      <c r="C2" s="9" t="s">
        <v>280</v>
      </c>
      <c r="D2" s="9" t="s">
        <v>281</v>
      </c>
      <c r="E2" s="9" t="s">
        <v>282</v>
      </c>
      <c r="F2" s="9" t="s">
        <v>60</v>
      </c>
    </row>
    <row r="3" customFormat="false" ht="30" hidden="false" customHeight="true" outlineLevel="0" collapsed="false">
      <c r="A3" s="9" t="s">
        <v>283</v>
      </c>
      <c r="B3" s="9" t="s">
        <v>284</v>
      </c>
      <c r="C3" s="9" t="s">
        <v>285</v>
      </c>
      <c r="D3" s="9" t="s">
        <v>286</v>
      </c>
      <c r="E3" s="9" t="s">
        <v>287</v>
      </c>
      <c r="F3" s="9" t="s">
        <v>71</v>
      </c>
    </row>
    <row r="4" customFormat="false" ht="30" hidden="false" customHeight="true" outlineLevel="0" collapsed="false">
      <c r="A4" s="9" t="s">
        <v>288</v>
      </c>
      <c r="B4" s="9" t="s">
        <v>289</v>
      </c>
      <c r="C4" s="9" t="s">
        <v>290</v>
      </c>
      <c r="D4" s="9" t="s">
        <v>286</v>
      </c>
      <c r="E4" s="9" t="s">
        <v>287</v>
      </c>
      <c r="F4" s="9" t="s">
        <v>97</v>
      </c>
    </row>
    <row r="5" customFormat="false" ht="30" hidden="false" customHeight="true" outlineLevel="0" collapsed="false">
      <c r="A5" s="9" t="s">
        <v>291</v>
      </c>
      <c r="B5" s="9" t="s">
        <v>292</v>
      </c>
      <c r="C5" s="9" t="s">
        <v>290</v>
      </c>
      <c r="D5" s="9" t="s">
        <v>286</v>
      </c>
      <c r="E5" s="9" t="s">
        <v>287</v>
      </c>
      <c r="F5" s="9" t="s">
        <v>97</v>
      </c>
    </row>
    <row r="6" customFormat="false" ht="30" hidden="false" customHeight="true" outlineLevel="0" collapsed="false">
      <c r="A6" s="9" t="s">
        <v>293</v>
      </c>
      <c r="B6" s="9" t="s">
        <v>294</v>
      </c>
      <c r="C6" s="9" t="s">
        <v>290</v>
      </c>
      <c r="D6" s="9" t="s">
        <v>286</v>
      </c>
      <c r="E6" s="9" t="s">
        <v>287</v>
      </c>
      <c r="F6" s="9" t="s">
        <v>97</v>
      </c>
    </row>
    <row r="7" customFormat="false" ht="30" hidden="false" customHeight="true" outlineLevel="0" collapsed="false">
      <c r="A7" s="9" t="s">
        <v>295</v>
      </c>
      <c r="B7" s="9" t="s">
        <v>296</v>
      </c>
      <c r="C7" s="9" t="s">
        <v>290</v>
      </c>
      <c r="D7" s="9" t="s">
        <v>286</v>
      </c>
      <c r="E7" s="9" t="s">
        <v>287</v>
      </c>
      <c r="F7" s="9" t="s">
        <v>97</v>
      </c>
    </row>
    <row r="8" customFormat="false" ht="30" hidden="false" customHeight="true" outlineLevel="0" collapsed="false">
      <c r="A8" s="9" t="s">
        <v>297</v>
      </c>
      <c r="B8" s="9" t="s">
        <v>298</v>
      </c>
      <c r="C8" s="9" t="s">
        <v>290</v>
      </c>
      <c r="D8" s="9" t="s">
        <v>286</v>
      </c>
      <c r="E8" s="9" t="s">
        <v>287</v>
      </c>
      <c r="F8" s="9" t="s">
        <v>97</v>
      </c>
    </row>
    <row r="9" customFormat="false" ht="30" hidden="false" customHeight="true" outlineLevel="0" collapsed="false">
      <c r="A9" s="9" t="s">
        <v>299</v>
      </c>
      <c r="B9" s="9" t="s">
        <v>300</v>
      </c>
      <c r="C9" s="9" t="s">
        <v>290</v>
      </c>
      <c r="D9" s="9" t="s">
        <v>286</v>
      </c>
      <c r="E9" s="9" t="s">
        <v>282</v>
      </c>
      <c r="F9" s="9" t="s">
        <v>71</v>
      </c>
    </row>
    <row r="10" customFormat="false" ht="30" hidden="false" customHeight="true" outlineLevel="0" collapsed="false">
      <c r="A10" s="9" t="s">
        <v>301</v>
      </c>
      <c r="B10" s="9" t="s">
        <v>302</v>
      </c>
      <c r="C10" s="9" t="s">
        <v>290</v>
      </c>
      <c r="D10" s="9" t="s">
        <v>286</v>
      </c>
      <c r="E10" s="9" t="s">
        <v>287</v>
      </c>
      <c r="F10" s="9" t="s">
        <v>71</v>
      </c>
    </row>
    <row r="11" customFormat="false" ht="30" hidden="false" customHeight="true" outlineLevel="0" collapsed="false">
      <c r="A11" s="9" t="s">
        <v>303</v>
      </c>
      <c r="B11" s="9" t="s">
        <v>304</v>
      </c>
      <c r="C11" s="9" t="s">
        <v>290</v>
      </c>
      <c r="D11" s="9" t="s">
        <v>286</v>
      </c>
      <c r="E11" s="9" t="s">
        <v>287</v>
      </c>
      <c r="F11" s="9" t="s">
        <v>97</v>
      </c>
    </row>
    <row r="12" customFormat="false" ht="30" hidden="false" customHeight="true" outlineLevel="0" collapsed="false">
      <c r="A12" s="9" t="s">
        <v>305</v>
      </c>
      <c r="B12" s="9" t="s">
        <v>306</v>
      </c>
      <c r="C12" s="9" t="s">
        <v>290</v>
      </c>
      <c r="D12" s="9" t="s">
        <v>307</v>
      </c>
      <c r="E12" s="9" t="s">
        <v>287</v>
      </c>
      <c r="F12" s="9"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4" min="4" style="0" width="62"/>
    <col collapsed="false" customWidth="true" hidden="false" outlineLevel="0" max="5" min="5" style="0" width="92"/>
  </cols>
  <sheetData>
    <row r="1" customFormat="false" ht="30" hidden="false" customHeight="true" outlineLevel="0" collapsed="false">
      <c r="A1" s="6" t="s">
        <v>46</v>
      </c>
      <c r="B1" s="6" t="s">
        <v>47</v>
      </c>
      <c r="C1" s="6" t="s">
        <v>308</v>
      </c>
      <c r="D1" s="6" t="s">
        <v>309</v>
      </c>
      <c r="E1" s="6" t="s">
        <v>310</v>
      </c>
    </row>
    <row r="2" customFormat="false" ht="35.05" hidden="false" customHeight="false" outlineLevel="0" collapsed="false">
      <c r="A2" s="9" t="s">
        <v>55</v>
      </c>
      <c r="B2" s="9" t="n">
        <v>1</v>
      </c>
      <c r="C2" s="9" t="s">
        <v>311</v>
      </c>
      <c r="D2" s="9" t="s">
        <v>57</v>
      </c>
      <c r="E2" s="9"/>
    </row>
    <row r="3" customFormat="false" ht="35.05" hidden="false" customHeight="false" outlineLevel="0" collapsed="false">
      <c r="A3" s="9" t="s">
        <v>55</v>
      </c>
      <c r="B3" s="9" t="n">
        <v>1</v>
      </c>
      <c r="C3" s="9" t="s">
        <v>312</v>
      </c>
      <c r="D3" s="9" t="s">
        <v>57</v>
      </c>
      <c r="E3" s="9"/>
    </row>
    <row r="4" customFormat="false" ht="35.05" hidden="false" customHeight="false" outlineLevel="0" collapsed="false">
      <c r="A4" s="9" t="s">
        <v>55</v>
      </c>
      <c r="B4" s="9" t="n">
        <v>1</v>
      </c>
      <c r="C4" s="9" t="s">
        <v>313</v>
      </c>
      <c r="D4" s="9" t="s">
        <v>57</v>
      </c>
      <c r="E4" s="9"/>
    </row>
    <row r="5" customFormat="false" ht="35.05" hidden="false" customHeight="false" outlineLevel="0" collapsed="false">
      <c r="A5" s="9" t="s">
        <v>55</v>
      </c>
      <c r="B5" s="9" t="n">
        <v>1</v>
      </c>
      <c r="C5" s="9" t="s">
        <v>314</v>
      </c>
      <c r="D5" s="9" t="s">
        <v>57</v>
      </c>
      <c r="E5" s="9"/>
    </row>
    <row r="6" customFormat="false" ht="23.85" hidden="false" customHeight="false" outlineLevel="0" collapsed="false">
      <c r="A6" s="9" t="s">
        <v>63</v>
      </c>
      <c r="B6" s="9" t="n">
        <v>1</v>
      </c>
      <c r="C6" s="9" t="s">
        <v>311</v>
      </c>
      <c r="D6" s="9" t="s">
        <v>64</v>
      </c>
      <c r="E6" s="9"/>
    </row>
    <row r="7" customFormat="false" ht="23.85" hidden="false" customHeight="false" outlineLevel="0" collapsed="false">
      <c r="A7" s="9" t="s">
        <v>63</v>
      </c>
      <c r="B7" s="9" t="n">
        <v>1</v>
      </c>
      <c r="C7" s="9" t="s">
        <v>312</v>
      </c>
      <c r="D7" s="9" t="s">
        <v>64</v>
      </c>
      <c r="E7" s="9"/>
    </row>
    <row r="8" customFormat="false" ht="23.85" hidden="false" customHeight="false" outlineLevel="0" collapsed="false">
      <c r="A8" s="9" t="s">
        <v>63</v>
      </c>
      <c r="B8" s="9" t="n">
        <v>1</v>
      </c>
      <c r="C8" s="9" t="s">
        <v>313</v>
      </c>
      <c r="D8" s="9" t="s">
        <v>64</v>
      </c>
      <c r="E8" s="9"/>
    </row>
    <row r="9" customFormat="false" ht="23.85" hidden="false" customHeight="false" outlineLevel="0" collapsed="false">
      <c r="A9" s="9" t="s">
        <v>63</v>
      </c>
      <c r="B9" s="9" t="n">
        <v>1</v>
      </c>
      <c r="C9" s="9" t="s">
        <v>314</v>
      </c>
      <c r="D9" s="9" t="s">
        <v>64</v>
      </c>
      <c r="E9" s="9"/>
    </row>
    <row r="10" customFormat="false" ht="23.85" hidden="false" customHeight="false" outlineLevel="0" collapsed="false">
      <c r="A10" s="9" t="s">
        <v>67</v>
      </c>
      <c r="B10" s="9" t="n">
        <v>1</v>
      </c>
      <c r="C10" s="9" t="s">
        <v>311</v>
      </c>
      <c r="D10" s="9" t="s">
        <v>68</v>
      </c>
      <c r="E10" s="9"/>
    </row>
    <row r="11" customFormat="false" ht="23.85" hidden="false" customHeight="false" outlineLevel="0" collapsed="false">
      <c r="A11" s="9" t="s">
        <v>67</v>
      </c>
      <c r="B11" s="9" t="n">
        <v>1</v>
      </c>
      <c r="C11" s="9" t="s">
        <v>312</v>
      </c>
      <c r="D11" s="9" t="s">
        <v>68</v>
      </c>
      <c r="E11" s="9"/>
    </row>
    <row r="12" customFormat="false" ht="23.85" hidden="false" customHeight="false" outlineLevel="0" collapsed="false">
      <c r="A12" s="9" t="s">
        <v>67</v>
      </c>
      <c r="B12" s="9" t="n">
        <v>1</v>
      </c>
      <c r="C12" s="9" t="s">
        <v>313</v>
      </c>
      <c r="D12" s="9" t="s">
        <v>68</v>
      </c>
      <c r="E12" s="9"/>
    </row>
    <row r="13" customFormat="false" ht="23.85" hidden="false" customHeight="false" outlineLevel="0" collapsed="false">
      <c r="A13" s="9" t="s">
        <v>67</v>
      </c>
      <c r="B13" s="9" t="n">
        <v>1</v>
      </c>
      <c r="C13" s="9" t="s">
        <v>314</v>
      </c>
      <c r="D13" s="9" t="s">
        <v>68</v>
      </c>
      <c r="E13" s="9"/>
    </row>
    <row r="14" customFormat="false" ht="35.05" hidden="false" customHeight="false" outlineLevel="0" collapsed="false">
      <c r="A14" s="9" t="s">
        <v>73</v>
      </c>
      <c r="B14" s="9" t="n">
        <v>1</v>
      </c>
      <c r="C14" s="9" t="s">
        <v>311</v>
      </c>
      <c r="D14" s="9" t="s">
        <v>74</v>
      </c>
      <c r="E14" s="9"/>
    </row>
    <row r="15" customFormat="false" ht="35.05" hidden="false" customHeight="false" outlineLevel="0" collapsed="false">
      <c r="A15" s="9" t="s">
        <v>73</v>
      </c>
      <c r="B15" s="9" t="n">
        <v>1</v>
      </c>
      <c r="C15" s="9" t="s">
        <v>312</v>
      </c>
      <c r="D15" s="9" t="s">
        <v>74</v>
      </c>
      <c r="E15" s="9"/>
    </row>
    <row r="16" customFormat="false" ht="35.05" hidden="false" customHeight="false" outlineLevel="0" collapsed="false">
      <c r="A16" s="9" t="s">
        <v>73</v>
      </c>
      <c r="B16" s="9" t="n">
        <v>1</v>
      </c>
      <c r="C16" s="9" t="s">
        <v>313</v>
      </c>
      <c r="D16" s="9" t="s">
        <v>74</v>
      </c>
      <c r="E16" s="9"/>
    </row>
    <row r="17" customFormat="false" ht="35.05" hidden="false" customHeight="false" outlineLevel="0" collapsed="false">
      <c r="A17" s="9" t="s">
        <v>73</v>
      </c>
      <c r="B17" s="9" t="n">
        <v>1</v>
      </c>
      <c r="C17" s="9" t="s">
        <v>314</v>
      </c>
      <c r="D17" s="9" t="s">
        <v>74</v>
      </c>
      <c r="E17" s="9"/>
    </row>
    <row r="18" customFormat="false" ht="35.05" hidden="false" customHeight="false" outlineLevel="0" collapsed="false">
      <c r="A18" s="9" t="s">
        <v>77</v>
      </c>
      <c r="B18" s="9" t="n">
        <v>1</v>
      </c>
      <c r="C18" s="9" t="s">
        <v>311</v>
      </c>
      <c r="D18" s="9" t="s">
        <v>78</v>
      </c>
      <c r="E18" s="9"/>
    </row>
    <row r="19" customFormat="false" ht="35.05" hidden="false" customHeight="false" outlineLevel="0" collapsed="false">
      <c r="A19" s="9" t="s">
        <v>77</v>
      </c>
      <c r="B19" s="9" t="n">
        <v>1</v>
      </c>
      <c r="C19" s="9" t="s">
        <v>312</v>
      </c>
      <c r="D19" s="9" t="s">
        <v>78</v>
      </c>
      <c r="E19" s="9"/>
    </row>
    <row r="20" customFormat="false" ht="35.05" hidden="false" customHeight="false" outlineLevel="0" collapsed="false">
      <c r="A20" s="9" t="s">
        <v>77</v>
      </c>
      <c r="B20" s="9" t="n">
        <v>1</v>
      </c>
      <c r="C20" s="9" t="s">
        <v>313</v>
      </c>
      <c r="D20" s="9" t="s">
        <v>78</v>
      </c>
      <c r="E20" s="9"/>
    </row>
    <row r="21" customFormat="false" ht="35.05" hidden="false" customHeight="false" outlineLevel="0" collapsed="false">
      <c r="A21" s="9" t="s">
        <v>77</v>
      </c>
      <c r="B21" s="9" t="n">
        <v>1</v>
      </c>
      <c r="C21" s="9" t="s">
        <v>314</v>
      </c>
      <c r="D21" s="9" t="s">
        <v>78</v>
      </c>
      <c r="E21" s="9"/>
    </row>
    <row r="22" customFormat="false" ht="35.05" hidden="false" customHeight="false" outlineLevel="0" collapsed="false">
      <c r="A22" s="9" t="s">
        <v>81</v>
      </c>
      <c r="B22" s="9" t="n">
        <v>1</v>
      </c>
      <c r="C22" s="9" t="s">
        <v>311</v>
      </c>
      <c r="D22" s="9" t="s">
        <v>82</v>
      </c>
      <c r="E22" s="9"/>
    </row>
    <row r="23" customFormat="false" ht="35.05" hidden="false" customHeight="false" outlineLevel="0" collapsed="false">
      <c r="A23" s="9" t="s">
        <v>81</v>
      </c>
      <c r="B23" s="9" t="n">
        <v>1</v>
      </c>
      <c r="C23" s="9" t="s">
        <v>312</v>
      </c>
      <c r="D23" s="9" t="s">
        <v>82</v>
      </c>
      <c r="E23" s="9"/>
    </row>
    <row r="24" customFormat="false" ht="35.05" hidden="false" customHeight="false" outlineLevel="0" collapsed="false">
      <c r="A24" s="9" t="s">
        <v>81</v>
      </c>
      <c r="B24" s="9" t="n">
        <v>1</v>
      </c>
      <c r="C24" s="9" t="s">
        <v>313</v>
      </c>
      <c r="D24" s="9" t="s">
        <v>82</v>
      </c>
      <c r="E24" s="9"/>
    </row>
    <row r="25" customFormat="false" ht="35.05" hidden="false" customHeight="false" outlineLevel="0" collapsed="false">
      <c r="A25" s="9" t="s">
        <v>81</v>
      </c>
      <c r="B25" s="9" t="n">
        <v>1</v>
      </c>
      <c r="C25" s="9" t="s">
        <v>314</v>
      </c>
      <c r="D25" s="9" t="s">
        <v>82</v>
      </c>
      <c r="E25" s="9"/>
    </row>
    <row r="26" customFormat="false" ht="35.05" hidden="false" customHeight="false" outlineLevel="0" collapsed="false">
      <c r="A26" s="9" t="s">
        <v>85</v>
      </c>
      <c r="B26" s="9" t="n">
        <v>1</v>
      </c>
      <c r="C26" s="9" t="s">
        <v>311</v>
      </c>
      <c r="D26" s="9" t="s">
        <v>86</v>
      </c>
      <c r="E26" s="9"/>
    </row>
    <row r="27" customFormat="false" ht="35.05" hidden="false" customHeight="false" outlineLevel="0" collapsed="false">
      <c r="A27" s="9" t="s">
        <v>85</v>
      </c>
      <c r="B27" s="9" t="n">
        <v>1</v>
      </c>
      <c r="C27" s="9" t="s">
        <v>312</v>
      </c>
      <c r="D27" s="9" t="s">
        <v>86</v>
      </c>
      <c r="E27" s="9"/>
    </row>
    <row r="28" customFormat="false" ht="35.05" hidden="false" customHeight="false" outlineLevel="0" collapsed="false">
      <c r="A28" s="9" t="s">
        <v>85</v>
      </c>
      <c r="B28" s="9" t="n">
        <v>1</v>
      </c>
      <c r="C28" s="9" t="s">
        <v>313</v>
      </c>
      <c r="D28" s="9" t="s">
        <v>86</v>
      </c>
      <c r="E28" s="9"/>
    </row>
    <row r="29" customFormat="false" ht="35.05" hidden="false" customHeight="false" outlineLevel="0" collapsed="false">
      <c r="A29" s="9" t="s">
        <v>85</v>
      </c>
      <c r="B29" s="9" t="n">
        <v>1</v>
      </c>
      <c r="C29" s="9" t="s">
        <v>314</v>
      </c>
      <c r="D29" s="9" t="s">
        <v>86</v>
      </c>
      <c r="E29" s="9"/>
    </row>
    <row r="30" customFormat="false" ht="23.85" hidden="false" customHeight="false" outlineLevel="0" collapsed="false">
      <c r="A30" s="9" t="s">
        <v>89</v>
      </c>
      <c r="B30" s="9" t="n">
        <v>1</v>
      </c>
      <c r="C30" s="9" t="s">
        <v>311</v>
      </c>
      <c r="D30" s="9" t="s">
        <v>90</v>
      </c>
      <c r="E30" s="9"/>
    </row>
    <row r="31" customFormat="false" ht="23.85" hidden="false" customHeight="false" outlineLevel="0" collapsed="false">
      <c r="A31" s="9" t="s">
        <v>89</v>
      </c>
      <c r="B31" s="9" t="n">
        <v>1</v>
      </c>
      <c r="C31" s="9" t="s">
        <v>312</v>
      </c>
      <c r="D31" s="9" t="s">
        <v>90</v>
      </c>
      <c r="E31" s="9"/>
    </row>
    <row r="32" customFormat="false" ht="23.85" hidden="false" customHeight="false" outlineLevel="0" collapsed="false">
      <c r="A32" s="9" t="s">
        <v>89</v>
      </c>
      <c r="B32" s="9" t="n">
        <v>1</v>
      </c>
      <c r="C32" s="9" t="s">
        <v>313</v>
      </c>
      <c r="D32" s="9" t="s">
        <v>90</v>
      </c>
      <c r="E32" s="9"/>
    </row>
    <row r="33" customFormat="false" ht="23.85" hidden="false" customHeight="false" outlineLevel="0" collapsed="false">
      <c r="A33" s="9" t="s">
        <v>89</v>
      </c>
      <c r="B33" s="9" t="n">
        <v>1</v>
      </c>
      <c r="C33" s="9" t="s">
        <v>314</v>
      </c>
      <c r="D33" s="9" t="s">
        <v>90</v>
      </c>
      <c r="E33" s="9"/>
    </row>
    <row r="34" customFormat="false" ht="35.05" hidden="false" customHeight="false" outlineLevel="0" collapsed="false">
      <c r="A34" s="9" t="s">
        <v>93</v>
      </c>
      <c r="B34" s="9" t="n">
        <v>1</v>
      </c>
      <c r="C34" s="9" t="s">
        <v>311</v>
      </c>
      <c r="D34" s="9" t="s">
        <v>94</v>
      </c>
      <c r="E34" s="9"/>
    </row>
    <row r="35" customFormat="false" ht="35.05" hidden="false" customHeight="false" outlineLevel="0" collapsed="false">
      <c r="A35" s="9" t="s">
        <v>93</v>
      </c>
      <c r="B35" s="9" t="n">
        <v>1</v>
      </c>
      <c r="C35" s="9" t="s">
        <v>312</v>
      </c>
      <c r="D35" s="9" t="s">
        <v>94</v>
      </c>
      <c r="E35" s="9"/>
    </row>
    <row r="36" customFormat="false" ht="35.05" hidden="false" customHeight="false" outlineLevel="0" collapsed="false">
      <c r="A36" s="9" t="s">
        <v>93</v>
      </c>
      <c r="B36" s="9" t="n">
        <v>1</v>
      </c>
      <c r="C36" s="9" t="s">
        <v>313</v>
      </c>
      <c r="D36" s="9" t="s">
        <v>94</v>
      </c>
      <c r="E36" s="9"/>
    </row>
    <row r="37" customFormat="false" ht="35.05" hidden="false" customHeight="false" outlineLevel="0" collapsed="false">
      <c r="A37" s="9" t="s">
        <v>93</v>
      </c>
      <c r="B37" s="9" t="n">
        <v>1</v>
      </c>
      <c r="C37" s="9" t="s">
        <v>314</v>
      </c>
      <c r="D37" s="9" t="s">
        <v>94</v>
      </c>
      <c r="E37" s="9"/>
    </row>
    <row r="38" customFormat="false" ht="23.85" hidden="false" customHeight="false" outlineLevel="0" collapsed="false">
      <c r="A38" s="9" t="s">
        <v>98</v>
      </c>
      <c r="B38" s="9" t="n">
        <v>1</v>
      </c>
      <c r="C38" s="9" t="s">
        <v>311</v>
      </c>
      <c r="D38" s="9" t="s">
        <v>99</v>
      </c>
      <c r="E38" s="9"/>
    </row>
    <row r="39" customFormat="false" ht="23.85" hidden="false" customHeight="false" outlineLevel="0" collapsed="false">
      <c r="A39" s="9" t="s">
        <v>98</v>
      </c>
      <c r="B39" s="9" t="n">
        <v>1</v>
      </c>
      <c r="C39" s="9" t="s">
        <v>312</v>
      </c>
      <c r="D39" s="9" t="s">
        <v>99</v>
      </c>
      <c r="E39" s="9"/>
    </row>
    <row r="40" customFormat="false" ht="23.85" hidden="false" customHeight="false" outlineLevel="0" collapsed="false">
      <c r="A40" s="9" t="s">
        <v>98</v>
      </c>
      <c r="B40" s="9" t="n">
        <v>1</v>
      </c>
      <c r="C40" s="9" t="s">
        <v>313</v>
      </c>
      <c r="D40" s="9" t="s">
        <v>99</v>
      </c>
      <c r="E40" s="9"/>
    </row>
    <row r="41" customFormat="false" ht="23.85" hidden="false" customHeight="false" outlineLevel="0" collapsed="false">
      <c r="A41" s="9" t="s">
        <v>98</v>
      </c>
      <c r="B41" s="9" t="n">
        <v>1</v>
      </c>
      <c r="C41" s="9" t="s">
        <v>314</v>
      </c>
      <c r="D41" s="9" t="s">
        <v>99</v>
      </c>
      <c r="E41" s="9"/>
    </row>
    <row r="42" customFormat="false" ht="23.85" hidden="false" customHeight="false" outlineLevel="0" collapsed="false">
      <c r="A42" s="9" t="s">
        <v>102</v>
      </c>
      <c r="B42" s="9" t="n">
        <v>2</v>
      </c>
      <c r="C42" s="9" t="s">
        <v>311</v>
      </c>
      <c r="D42" s="9" t="s">
        <v>104</v>
      </c>
      <c r="E42" s="9"/>
    </row>
    <row r="43" customFormat="false" ht="23.85" hidden="false" customHeight="false" outlineLevel="0" collapsed="false">
      <c r="A43" s="9" t="s">
        <v>102</v>
      </c>
      <c r="B43" s="9" t="n">
        <v>2</v>
      </c>
      <c r="C43" s="9" t="s">
        <v>312</v>
      </c>
      <c r="D43" s="9" t="s">
        <v>104</v>
      </c>
      <c r="E43" s="9"/>
    </row>
    <row r="44" customFormat="false" ht="23.85" hidden="false" customHeight="false" outlineLevel="0" collapsed="false">
      <c r="A44" s="9" t="s">
        <v>102</v>
      </c>
      <c r="B44" s="9" t="n">
        <v>2</v>
      </c>
      <c r="C44" s="9" t="s">
        <v>313</v>
      </c>
      <c r="D44" s="9" t="s">
        <v>104</v>
      </c>
      <c r="E44" s="9"/>
    </row>
    <row r="45" customFormat="false" ht="23.85" hidden="false" customHeight="false" outlineLevel="0" collapsed="false">
      <c r="A45" s="9" t="s">
        <v>102</v>
      </c>
      <c r="B45" s="9" t="n">
        <v>2</v>
      </c>
      <c r="C45" s="9" t="s">
        <v>314</v>
      </c>
      <c r="D45" s="9" t="s">
        <v>104</v>
      </c>
      <c r="E45" s="9"/>
    </row>
    <row r="46" customFormat="false" ht="35.05" hidden="false" customHeight="false" outlineLevel="0" collapsed="false">
      <c r="A46" s="9" t="s">
        <v>107</v>
      </c>
      <c r="B46" s="9" t="n">
        <v>2</v>
      </c>
      <c r="C46" s="9" t="s">
        <v>311</v>
      </c>
      <c r="D46" s="9" t="s">
        <v>108</v>
      </c>
      <c r="E46" s="9"/>
    </row>
    <row r="47" customFormat="false" ht="35.05" hidden="false" customHeight="false" outlineLevel="0" collapsed="false">
      <c r="A47" s="9" t="s">
        <v>107</v>
      </c>
      <c r="B47" s="9" t="n">
        <v>2</v>
      </c>
      <c r="C47" s="9" t="s">
        <v>312</v>
      </c>
      <c r="D47" s="9" t="s">
        <v>108</v>
      </c>
      <c r="E47" s="9"/>
    </row>
    <row r="48" customFormat="false" ht="35.05" hidden="false" customHeight="false" outlineLevel="0" collapsed="false">
      <c r="A48" s="9" t="s">
        <v>107</v>
      </c>
      <c r="B48" s="9" t="n">
        <v>2</v>
      </c>
      <c r="C48" s="9" t="s">
        <v>313</v>
      </c>
      <c r="D48" s="9" t="s">
        <v>108</v>
      </c>
      <c r="E48" s="9"/>
    </row>
    <row r="49" customFormat="false" ht="35.05" hidden="false" customHeight="false" outlineLevel="0" collapsed="false">
      <c r="A49" s="9" t="s">
        <v>107</v>
      </c>
      <c r="B49" s="9" t="n">
        <v>2</v>
      </c>
      <c r="C49" s="9" t="s">
        <v>314</v>
      </c>
      <c r="D49" s="9" t="s">
        <v>108</v>
      </c>
      <c r="E49" s="9"/>
    </row>
    <row r="50" customFormat="false" ht="23.85" hidden="false" customHeight="false" outlineLevel="0" collapsed="false">
      <c r="A50" s="9" t="s">
        <v>111</v>
      </c>
      <c r="B50" s="9" t="n">
        <v>2</v>
      </c>
      <c r="C50" s="9" t="s">
        <v>311</v>
      </c>
      <c r="D50" s="9" t="s">
        <v>112</v>
      </c>
      <c r="E50" s="9"/>
    </row>
    <row r="51" customFormat="false" ht="23.85" hidden="false" customHeight="false" outlineLevel="0" collapsed="false">
      <c r="A51" s="9" t="s">
        <v>111</v>
      </c>
      <c r="B51" s="9" t="n">
        <v>2</v>
      </c>
      <c r="C51" s="9" t="s">
        <v>312</v>
      </c>
      <c r="D51" s="9" t="s">
        <v>112</v>
      </c>
      <c r="E51" s="9"/>
    </row>
    <row r="52" customFormat="false" ht="23.85" hidden="false" customHeight="false" outlineLevel="0" collapsed="false">
      <c r="A52" s="9" t="s">
        <v>111</v>
      </c>
      <c r="B52" s="9" t="n">
        <v>2</v>
      </c>
      <c r="C52" s="9" t="s">
        <v>313</v>
      </c>
      <c r="D52" s="9" t="s">
        <v>112</v>
      </c>
      <c r="E52" s="9"/>
    </row>
    <row r="53" customFormat="false" ht="23.85" hidden="false" customHeight="false" outlineLevel="0" collapsed="false">
      <c r="A53" s="9" t="s">
        <v>111</v>
      </c>
      <c r="B53" s="9" t="n">
        <v>2</v>
      </c>
      <c r="C53" s="9" t="s">
        <v>314</v>
      </c>
      <c r="D53" s="9" t="s">
        <v>112</v>
      </c>
      <c r="E53" s="9"/>
    </row>
    <row r="54" customFormat="false" ht="23.85" hidden="false" customHeight="false" outlineLevel="0" collapsed="false">
      <c r="A54" s="9" t="s">
        <v>115</v>
      </c>
      <c r="B54" s="9" t="n">
        <v>2</v>
      </c>
      <c r="C54" s="9" t="s">
        <v>311</v>
      </c>
      <c r="D54" s="9" t="s">
        <v>116</v>
      </c>
      <c r="E54" s="9"/>
    </row>
    <row r="55" customFormat="false" ht="23.85" hidden="false" customHeight="false" outlineLevel="0" collapsed="false">
      <c r="A55" s="9" t="s">
        <v>115</v>
      </c>
      <c r="B55" s="9" t="n">
        <v>2</v>
      </c>
      <c r="C55" s="9" t="s">
        <v>312</v>
      </c>
      <c r="D55" s="9" t="s">
        <v>116</v>
      </c>
      <c r="E55" s="9"/>
    </row>
    <row r="56" customFormat="false" ht="23.85" hidden="false" customHeight="false" outlineLevel="0" collapsed="false">
      <c r="A56" s="9" t="s">
        <v>115</v>
      </c>
      <c r="B56" s="9" t="n">
        <v>2</v>
      </c>
      <c r="C56" s="9" t="s">
        <v>313</v>
      </c>
      <c r="D56" s="9" t="s">
        <v>116</v>
      </c>
      <c r="E56" s="9"/>
    </row>
    <row r="57" customFormat="false" ht="23.85" hidden="false" customHeight="false" outlineLevel="0" collapsed="false">
      <c r="A57" s="9" t="s">
        <v>115</v>
      </c>
      <c r="B57" s="9" t="n">
        <v>2</v>
      </c>
      <c r="C57" s="9" t="s">
        <v>314</v>
      </c>
      <c r="D57" s="9" t="s">
        <v>116</v>
      </c>
      <c r="E57" s="9"/>
    </row>
    <row r="58" customFormat="false" ht="35.05" hidden="false" customHeight="false" outlineLevel="0" collapsed="false">
      <c r="A58" s="9" t="s">
        <v>119</v>
      </c>
      <c r="B58" s="9" t="n">
        <v>2</v>
      </c>
      <c r="C58" s="9" t="s">
        <v>311</v>
      </c>
      <c r="D58" s="9" t="s">
        <v>120</v>
      </c>
      <c r="E58" s="9"/>
    </row>
    <row r="59" customFormat="false" ht="35.05" hidden="false" customHeight="false" outlineLevel="0" collapsed="false">
      <c r="A59" s="9" t="s">
        <v>119</v>
      </c>
      <c r="B59" s="9" t="n">
        <v>2</v>
      </c>
      <c r="C59" s="9" t="s">
        <v>312</v>
      </c>
      <c r="D59" s="9" t="s">
        <v>120</v>
      </c>
      <c r="E59" s="9"/>
    </row>
    <row r="60" customFormat="false" ht="35.05" hidden="false" customHeight="false" outlineLevel="0" collapsed="false">
      <c r="A60" s="9" t="s">
        <v>119</v>
      </c>
      <c r="B60" s="9" t="n">
        <v>2</v>
      </c>
      <c r="C60" s="9" t="s">
        <v>313</v>
      </c>
      <c r="D60" s="9" t="s">
        <v>120</v>
      </c>
      <c r="E60" s="9"/>
    </row>
    <row r="61" customFormat="false" ht="35.05" hidden="false" customHeight="false" outlineLevel="0" collapsed="false">
      <c r="A61" s="9" t="s">
        <v>119</v>
      </c>
      <c r="B61" s="9" t="n">
        <v>2</v>
      </c>
      <c r="C61" s="9" t="s">
        <v>314</v>
      </c>
      <c r="D61" s="9" t="s">
        <v>120</v>
      </c>
      <c r="E61" s="9"/>
    </row>
    <row r="62" customFormat="false" ht="35.05" hidden="false" customHeight="false" outlineLevel="0" collapsed="false">
      <c r="A62" s="9" t="s">
        <v>123</v>
      </c>
      <c r="B62" s="9" t="n">
        <v>2</v>
      </c>
      <c r="C62" s="9" t="s">
        <v>311</v>
      </c>
      <c r="D62" s="9" t="s">
        <v>124</v>
      </c>
      <c r="E62" s="9"/>
    </row>
    <row r="63" customFormat="false" ht="35.05" hidden="false" customHeight="false" outlineLevel="0" collapsed="false">
      <c r="A63" s="9" t="s">
        <v>123</v>
      </c>
      <c r="B63" s="9" t="n">
        <v>2</v>
      </c>
      <c r="C63" s="9" t="s">
        <v>312</v>
      </c>
      <c r="D63" s="9" t="s">
        <v>124</v>
      </c>
      <c r="E63" s="9"/>
    </row>
    <row r="64" customFormat="false" ht="35.05" hidden="false" customHeight="false" outlineLevel="0" collapsed="false">
      <c r="A64" s="9" t="s">
        <v>123</v>
      </c>
      <c r="B64" s="9" t="n">
        <v>2</v>
      </c>
      <c r="C64" s="9" t="s">
        <v>313</v>
      </c>
      <c r="D64" s="9" t="s">
        <v>124</v>
      </c>
      <c r="E64" s="9"/>
    </row>
    <row r="65" customFormat="false" ht="35.05" hidden="false" customHeight="false" outlineLevel="0" collapsed="false">
      <c r="A65" s="9" t="s">
        <v>123</v>
      </c>
      <c r="B65" s="9" t="n">
        <v>2</v>
      </c>
      <c r="C65" s="9" t="s">
        <v>314</v>
      </c>
      <c r="D65" s="9" t="s">
        <v>124</v>
      </c>
      <c r="E65" s="9"/>
    </row>
    <row r="66" customFormat="false" ht="35.05" hidden="false" customHeight="false" outlineLevel="0" collapsed="false">
      <c r="A66" s="9" t="s">
        <v>127</v>
      </c>
      <c r="B66" s="9" t="n">
        <v>2</v>
      </c>
      <c r="C66" s="9" t="s">
        <v>311</v>
      </c>
      <c r="D66" s="9" t="s">
        <v>128</v>
      </c>
      <c r="E66" s="9"/>
    </row>
    <row r="67" customFormat="false" ht="35.05" hidden="false" customHeight="false" outlineLevel="0" collapsed="false">
      <c r="A67" s="9" t="s">
        <v>127</v>
      </c>
      <c r="B67" s="9" t="n">
        <v>2</v>
      </c>
      <c r="C67" s="9" t="s">
        <v>312</v>
      </c>
      <c r="D67" s="9" t="s">
        <v>128</v>
      </c>
      <c r="E67" s="9"/>
    </row>
    <row r="68" customFormat="false" ht="35.05" hidden="false" customHeight="false" outlineLevel="0" collapsed="false">
      <c r="A68" s="9" t="s">
        <v>127</v>
      </c>
      <c r="B68" s="9" t="n">
        <v>2</v>
      </c>
      <c r="C68" s="9" t="s">
        <v>313</v>
      </c>
      <c r="D68" s="9" t="s">
        <v>128</v>
      </c>
      <c r="E68" s="9"/>
    </row>
    <row r="69" customFormat="false" ht="35.05" hidden="false" customHeight="false" outlineLevel="0" collapsed="false">
      <c r="A69" s="9" t="s">
        <v>127</v>
      </c>
      <c r="B69" s="9" t="n">
        <v>2</v>
      </c>
      <c r="C69" s="9" t="s">
        <v>314</v>
      </c>
      <c r="D69" s="9" t="s">
        <v>128</v>
      </c>
      <c r="E69" s="9"/>
    </row>
    <row r="70" customFormat="false" ht="35.05" hidden="false" customHeight="false" outlineLevel="0" collapsed="false">
      <c r="A70" s="9" t="s">
        <v>131</v>
      </c>
      <c r="B70" s="9" t="n">
        <v>2</v>
      </c>
      <c r="C70" s="9" t="s">
        <v>311</v>
      </c>
      <c r="D70" s="9" t="s">
        <v>132</v>
      </c>
      <c r="E70" s="9"/>
    </row>
    <row r="71" customFormat="false" ht="35.05" hidden="false" customHeight="false" outlineLevel="0" collapsed="false">
      <c r="A71" s="9" t="s">
        <v>131</v>
      </c>
      <c r="B71" s="9" t="n">
        <v>2</v>
      </c>
      <c r="C71" s="9" t="s">
        <v>312</v>
      </c>
      <c r="D71" s="9" t="s">
        <v>132</v>
      </c>
      <c r="E71" s="9"/>
    </row>
    <row r="72" customFormat="false" ht="35.05" hidden="false" customHeight="false" outlineLevel="0" collapsed="false">
      <c r="A72" s="9" t="s">
        <v>131</v>
      </c>
      <c r="B72" s="9" t="n">
        <v>2</v>
      </c>
      <c r="C72" s="9" t="s">
        <v>313</v>
      </c>
      <c r="D72" s="9" t="s">
        <v>132</v>
      </c>
      <c r="E72" s="9"/>
    </row>
    <row r="73" customFormat="false" ht="35.05" hidden="false" customHeight="false" outlineLevel="0" collapsed="false">
      <c r="A73" s="9" t="s">
        <v>131</v>
      </c>
      <c r="B73" s="9" t="n">
        <v>2</v>
      </c>
      <c r="C73" s="9" t="s">
        <v>314</v>
      </c>
      <c r="D73" s="9" t="s">
        <v>132</v>
      </c>
      <c r="E73" s="9"/>
    </row>
    <row r="74" customFormat="false" ht="23.85" hidden="false" customHeight="false" outlineLevel="0" collapsed="false">
      <c r="A74" s="9" t="s">
        <v>135</v>
      </c>
      <c r="B74" s="9" t="n">
        <v>2</v>
      </c>
      <c r="C74" s="9" t="s">
        <v>311</v>
      </c>
      <c r="D74" s="9" t="s">
        <v>136</v>
      </c>
      <c r="E74" s="9"/>
    </row>
    <row r="75" customFormat="false" ht="23.85" hidden="false" customHeight="false" outlineLevel="0" collapsed="false">
      <c r="A75" s="9" t="s">
        <v>135</v>
      </c>
      <c r="B75" s="9" t="n">
        <v>2</v>
      </c>
      <c r="C75" s="9" t="s">
        <v>312</v>
      </c>
      <c r="D75" s="9" t="s">
        <v>136</v>
      </c>
      <c r="E75" s="9"/>
    </row>
    <row r="76" customFormat="false" ht="23.85" hidden="false" customHeight="false" outlineLevel="0" collapsed="false">
      <c r="A76" s="9" t="s">
        <v>135</v>
      </c>
      <c r="B76" s="9" t="n">
        <v>2</v>
      </c>
      <c r="C76" s="9" t="s">
        <v>313</v>
      </c>
      <c r="D76" s="9" t="s">
        <v>136</v>
      </c>
      <c r="E76" s="9"/>
    </row>
    <row r="77" customFormat="false" ht="23.85" hidden="false" customHeight="false" outlineLevel="0" collapsed="false">
      <c r="A77" s="9" t="s">
        <v>135</v>
      </c>
      <c r="B77" s="9" t="n">
        <v>2</v>
      </c>
      <c r="C77" s="9" t="s">
        <v>314</v>
      </c>
      <c r="D77" s="9" t="s">
        <v>136</v>
      </c>
      <c r="E77" s="9"/>
    </row>
    <row r="78" customFormat="false" ht="23.85" hidden="false" customHeight="false" outlineLevel="0" collapsed="false">
      <c r="A78" s="9" t="s">
        <v>139</v>
      </c>
      <c r="B78" s="9" t="n">
        <v>2</v>
      </c>
      <c r="C78" s="9" t="s">
        <v>311</v>
      </c>
      <c r="D78" s="9" t="s">
        <v>140</v>
      </c>
      <c r="E78" s="9"/>
    </row>
    <row r="79" customFormat="false" ht="23.85" hidden="false" customHeight="false" outlineLevel="0" collapsed="false">
      <c r="A79" s="9" t="s">
        <v>139</v>
      </c>
      <c r="B79" s="9" t="n">
        <v>2</v>
      </c>
      <c r="C79" s="9" t="s">
        <v>312</v>
      </c>
      <c r="D79" s="9" t="s">
        <v>140</v>
      </c>
      <c r="E79" s="9"/>
    </row>
    <row r="80" customFormat="false" ht="23.85" hidden="false" customHeight="false" outlineLevel="0" collapsed="false">
      <c r="A80" s="9" t="s">
        <v>139</v>
      </c>
      <c r="B80" s="9" t="n">
        <v>2</v>
      </c>
      <c r="C80" s="9" t="s">
        <v>313</v>
      </c>
      <c r="D80" s="9" t="s">
        <v>140</v>
      </c>
      <c r="E80" s="9"/>
    </row>
    <row r="81" customFormat="false" ht="23.85" hidden="false" customHeight="false" outlineLevel="0" collapsed="false">
      <c r="A81" s="9" t="s">
        <v>139</v>
      </c>
      <c r="B81" s="9" t="n">
        <v>2</v>
      </c>
      <c r="C81" s="9" t="s">
        <v>314</v>
      </c>
      <c r="D81" s="9" t="s">
        <v>140</v>
      </c>
      <c r="E81" s="9"/>
    </row>
    <row r="82" customFormat="false" ht="57.45" hidden="false" customHeight="false" outlineLevel="0" collapsed="false">
      <c r="A82" s="9" t="s">
        <v>143</v>
      </c>
      <c r="B82" s="9" t="n">
        <v>3</v>
      </c>
      <c r="C82" s="9" t="s">
        <v>311</v>
      </c>
      <c r="D82" s="9" t="s">
        <v>145</v>
      </c>
      <c r="E82" s="9"/>
    </row>
    <row r="83" customFormat="false" ht="57.45" hidden="false" customHeight="false" outlineLevel="0" collapsed="false">
      <c r="A83" s="9" t="s">
        <v>143</v>
      </c>
      <c r="B83" s="9" t="n">
        <v>3</v>
      </c>
      <c r="C83" s="9" t="s">
        <v>312</v>
      </c>
      <c r="D83" s="9" t="s">
        <v>145</v>
      </c>
      <c r="E83" s="9"/>
    </row>
    <row r="84" customFormat="false" ht="57.45" hidden="false" customHeight="false" outlineLevel="0" collapsed="false">
      <c r="A84" s="9" t="s">
        <v>143</v>
      </c>
      <c r="B84" s="9" t="n">
        <v>3</v>
      </c>
      <c r="C84" s="9" t="s">
        <v>313</v>
      </c>
      <c r="D84" s="9" t="s">
        <v>145</v>
      </c>
      <c r="E84" s="9"/>
    </row>
    <row r="85" customFormat="false" ht="57.45" hidden="false" customHeight="false" outlineLevel="0" collapsed="false">
      <c r="A85" s="9" t="s">
        <v>143</v>
      </c>
      <c r="B85" s="9" t="n">
        <v>3</v>
      </c>
      <c r="C85" s="9" t="s">
        <v>314</v>
      </c>
      <c r="D85" s="9" t="s">
        <v>145</v>
      </c>
      <c r="E85" s="9"/>
    </row>
    <row r="86" customFormat="false" ht="57.45" hidden="false" customHeight="false" outlineLevel="0" collapsed="false">
      <c r="A86" s="9" t="s">
        <v>148</v>
      </c>
      <c r="B86" s="9" t="n">
        <v>3</v>
      </c>
      <c r="C86" s="9" t="s">
        <v>311</v>
      </c>
      <c r="D86" s="9" t="s">
        <v>149</v>
      </c>
      <c r="E86" s="9"/>
    </row>
    <row r="87" customFormat="false" ht="57.45" hidden="false" customHeight="false" outlineLevel="0" collapsed="false">
      <c r="A87" s="9" t="s">
        <v>148</v>
      </c>
      <c r="B87" s="9" t="n">
        <v>3</v>
      </c>
      <c r="C87" s="9" t="s">
        <v>312</v>
      </c>
      <c r="D87" s="9" t="s">
        <v>149</v>
      </c>
      <c r="E87" s="9"/>
    </row>
    <row r="88" customFormat="false" ht="57.45" hidden="false" customHeight="false" outlineLevel="0" collapsed="false">
      <c r="A88" s="9" t="s">
        <v>148</v>
      </c>
      <c r="B88" s="9" t="n">
        <v>3</v>
      </c>
      <c r="C88" s="9" t="s">
        <v>313</v>
      </c>
      <c r="D88" s="9" t="s">
        <v>149</v>
      </c>
      <c r="E88" s="9"/>
    </row>
    <row r="89" customFormat="false" ht="57.45" hidden="false" customHeight="false" outlineLevel="0" collapsed="false">
      <c r="A89" s="9" t="s">
        <v>148</v>
      </c>
      <c r="B89" s="9" t="n">
        <v>3</v>
      </c>
      <c r="C89" s="9" t="s">
        <v>314</v>
      </c>
      <c r="D89" s="9" t="s">
        <v>149</v>
      </c>
      <c r="E89" s="9"/>
    </row>
    <row r="90" customFormat="false" ht="68.65" hidden="false" customHeight="false" outlineLevel="0" collapsed="false">
      <c r="A90" s="9" t="s">
        <v>152</v>
      </c>
      <c r="B90" s="9" t="n">
        <v>3</v>
      </c>
      <c r="C90" s="9" t="s">
        <v>311</v>
      </c>
      <c r="D90" s="9" t="s">
        <v>153</v>
      </c>
      <c r="E90" s="9"/>
    </row>
    <row r="91" customFormat="false" ht="68.65" hidden="false" customHeight="false" outlineLevel="0" collapsed="false">
      <c r="A91" s="9" t="s">
        <v>152</v>
      </c>
      <c r="B91" s="9" t="n">
        <v>3</v>
      </c>
      <c r="C91" s="9" t="s">
        <v>312</v>
      </c>
      <c r="D91" s="9" t="s">
        <v>153</v>
      </c>
      <c r="E91" s="9"/>
    </row>
    <row r="92" customFormat="false" ht="68.65" hidden="false" customHeight="false" outlineLevel="0" collapsed="false">
      <c r="A92" s="9" t="s">
        <v>152</v>
      </c>
      <c r="B92" s="9" t="n">
        <v>3</v>
      </c>
      <c r="C92" s="9" t="s">
        <v>313</v>
      </c>
      <c r="D92" s="9" t="s">
        <v>153</v>
      </c>
      <c r="E92" s="9"/>
    </row>
    <row r="93" customFormat="false" ht="68.65" hidden="false" customHeight="false" outlineLevel="0" collapsed="false">
      <c r="A93" s="9" t="s">
        <v>152</v>
      </c>
      <c r="B93" s="9" t="n">
        <v>3</v>
      </c>
      <c r="C93" s="9" t="s">
        <v>314</v>
      </c>
      <c r="D93" s="9" t="s">
        <v>153</v>
      </c>
      <c r="E93" s="9"/>
    </row>
    <row r="94" customFormat="false" ht="46.25" hidden="false" customHeight="false" outlineLevel="0" collapsed="false">
      <c r="A94" s="9" t="s">
        <v>156</v>
      </c>
      <c r="B94" s="9" t="n">
        <v>3</v>
      </c>
      <c r="C94" s="9" t="s">
        <v>311</v>
      </c>
      <c r="D94" s="9" t="s">
        <v>157</v>
      </c>
      <c r="E94" s="9"/>
    </row>
    <row r="95" customFormat="false" ht="46.25" hidden="false" customHeight="false" outlineLevel="0" collapsed="false">
      <c r="A95" s="9" t="s">
        <v>156</v>
      </c>
      <c r="B95" s="9" t="n">
        <v>3</v>
      </c>
      <c r="C95" s="9" t="s">
        <v>312</v>
      </c>
      <c r="D95" s="9" t="s">
        <v>157</v>
      </c>
      <c r="E95" s="9"/>
    </row>
    <row r="96" customFormat="false" ht="46.25" hidden="false" customHeight="false" outlineLevel="0" collapsed="false">
      <c r="A96" s="9" t="s">
        <v>156</v>
      </c>
      <c r="B96" s="9" t="n">
        <v>3</v>
      </c>
      <c r="C96" s="9" t="s">
        <v>313</v>
      </c>
      <c r="D96" s="9" t="s">
        <v>157</v>
      </c>
      <c r="E96" s="9"/>
    </row>
    <row r="97" customFormat="false" ht="46.25" hidden="false" customHeight="false" outlineLevel="0" collapsed="false">
      <c r="A97" s="9" t="s">
        <v>156</v>
      </c>
      <c r="B97" s="9" t="n">
        <v>3</v>
      </c>
      <c r="C97" s="9" t="s">
        <v>314</v>
      </c>
      <c r="D97" s="9" t="s">
        <v>157</v>
      </c>
      <c r="E97" s="9"/>
    </row>
    <row r="98" customFormat="false" ht="46.25" hidden="false" customHeight="false" outlineLevel="0" collapsed="false">
      <c r="A98" s="9" t="s">
        <v>160</v>
      </c>
      <c r="B98" s="9" t="n">
        <v>3</v>
      </c>
      <c r="C98" s="9" t="s">
        <v>311</v>
      </c>
      <c r="D98" s="9" t="s">
        <v>161</v>
      </c>
      <c r="E98" s="9"/>
    </row>
    <row r="99" customFormat="false" ht="46.25" hidden="false" customHeight="false" outlineLevel="0" collapsed="false">
      <c r="A99" s="9" t="s">
        <v>160</v>
      </c>
      <c r="B99" s="9" t="n">
        <v>3</v>
      </c>
      <c r="C99" s="9" t="s">
        <v>312</v>
      </c>
      <c r="D99" s="9" t="s">
        <v>161</v>
      </c>
      <c r="E99" s="9"/>
    </row>
    <row r="100" customFormat="false" ht="46.25" hidden="false" customHeight="false" outlineLevel="0" collapsed="false">
      <c r="A100" s="9" t="s">
        <v>160</v>
      </c>
      <c r="B100" s="9" t="n">
        <v>3</v>
      </c>
      <c r="C100" s="9" t="s">
        <v>313</v>
      </c>
      <c r="D100" s="9" t="s">
        <v>161</v>
      </c>
      <c r="E100" s="9"/>
    </row>
    <row r="101" customFormat="false" ht="46.25" hidden="false" customHeight="false" outlineLevel="0" collapsed="false">
      <c r="A101" s="9" t="s">
        <v>160</v>
      </c>
      <c r="B101" s="9" t="n">
        <v>3</v>
      </c>
      <c r="C101" s="9" t="s">
        <v>314</v>
      </c>
      <c r="D101" s="9" t="s">
        <v>161</v>
      </c>
      <c r="E101" s="9"/>
    </row>
    <row r="102" customFormat="false" ht="46.25" hidden="false" customHeight="false" outlineLevel="0" collapsed="false">
      <c r="A102" s="9" t="s">
        <v>164</v>
      </c>
      <c r="B102" s="9" t="n">
        <v>3</v>
      </c>
      <c r="C102" s="9" t="s">
        <v>311</v>
      </c>
      <c r="D102" s="9" t="s">
        <v>165</v>
      </c>
      <c r="E102" s="9"/>
    </row>
    <row r="103" customFormat="false" ht="46.25" hidden="false" customHeight="false" outlineLevel="0" collapsed="false">
      <c r="A103" s="9" t="s">
        <v>164</v>
      </c>
      <c r="B103" s="9" t="n">
        <v>3</v>
      </c>
      <c r="C103" s="9" t="s">
        <v>312</v>
      </c>
      <c r="D103" s="9" t="s">
        <v>165</v>
      </c>
      <c r="E103" s="9"/>
    </row>
    <row r="104" customFormat="false" ht="46.25" hidden="false" customHeight="false" outlineLevel="0" collapsed="false">
      <c r="A104" s="9" t="s">
        <v>164</v>
      </c>
      <c r="B104" s="9" t="n">
        <v>3</v>
      </c>
      <c r="C104" s="9" t="s">
        <v>313</v>
      </c>
      <c r="D104" s="9" t="s">
        <v>165</v>
      </c>
      <c r="E104" s="9"/>
    </row>
    <row r="105" customFormat="false" ht="46.25" hidden="false" customHeight="false" outlineLevel="0" collapsed="false">
      <c r="A105" s="9" t="s">
        <v>164</v>
      </c>
      <c r="B105" s="9" t="n">
        <v>3</v>
      </c>
      <c r="C105" s="9" t="s">
        <v>314</v>
      </c>
      <c r="D105" s="9" t="s">
        <v>165</v>
      </c>
      <c r="E105" s="9"/>
    </row>
    <row r="106" customFormat="false" ht="46.25" hidden="false" customHeight="false" outlineLevel="0" collapsed="false">
      <c r="A106" s="9" t="s">
        <v>168</v>
      </c>
      <c r="B106" s="9" t="n">
        <v>3</v>
      </c>
      <c r="C106" s="9" t="s">
        <v>311</v>
      </c>
      <c r="D106" s="9" t="s">
        <v>169</v>
      </c>
      <c r="E106" s="9"/>
    </row>
    <row r="107" customFormat="false" ht="46.25" hidden="false" customHeight="false" outlineLevel="0" collapsed="false">
      <c r="A107" s="9" t="s">
        <v>168</v>
      </c>
      <c r="B107" s="9" t="n">
        <v>3</v>
      </c>
      <c r="C107" s="9" t="s">
        <v>312</v>
      </c>
      <c r="D107" s="9" t="s">
        <v>169</v>
      </c>
      <c r="E107" s="9"/>
    </row>
    <row r="108" customFormat="false" ht="46.25" hidden="false" customHeight="false" outlineLevel="0" collapsed="false">
      <c r="A108" s="9" t="s">
        <v>168</v>
      </c>
      <c r="B108" s="9" t="n">
        <v>3</v>
      </c>
      <c r="C108" s="9" t="s">
        <v>313</v>
      </c>
      <c r="D108" s="9" t="s">
        <v>169</v>
      </c>
      <c r="E108" s="9"/>
    </row>
    <row r="109" customFormat="false" ht="46.25" hidden="false" customHeight="false" outlineLevel="0" collapsed="false">
      <c r="A109" s="9" t="s">
        <v>168</v>
      </c>
      <c r="B109" s="9" t="n">
        <v>3</v>
      </c>
      <c r="C109" s="9" t="s">
        <v>314</v>
      </c>
      <c r="D109" s="9" t="s">
        <v>169</v>
      </c>
      <c r="E109" s="9"/>
    </row>
    <row r="110" customFormat="false" ht="35.05" hidden="false" customHeight="false" outlineLevel="0" collapsed="false">
      <c r="A110" s="9" t="s">
        <v>172</v>
      </c>
      <c r="B110" s="9" t="n">
        <v>3</v>
      </c>
      <c r="C110" s="9" t="s">
        <v>311</v>
      </c>
      <c r="D110" s="9" t="s">
        <v>173</v>
      </c>
      <c r="E110" s="9"/>
    </row>
    <row r="111" customFormat="false" ht="35.05" hidden="false" customHeight="false" outlineLevel="0" collapsed="false">
      <c r="A111" s="9" t="s">
        <v>172</v>
      </c>
      <c r="B111" s="9" t="n">
        <v>3</v>
      </c>
      <c r="C111" s="9" t="s">
        <v>312</v>
      </c>
      <c r="D111" s="9" t="s">
        <v>173</v>
      </c>
      <c r="E111" s="9"/>
    </row>
    <row r="112" customFormat="false" ht="35.05" hidden="false" customHeight="false" outlineLevel="0" collapsed="false">
      <c r="A112" s="9" t="s">
        <v>172</v>
      </c>
      <c r="B112" s="9" t="n">
        <v>3</v>
      </c>
      <c r="C112" s="9" t="s">
        <v>313</v>
      </c>
      <c r="D112" s="9" t="s">
        <v>173</v>
      </c>
      <c r="E112" s="9"/>
    </row>
    <row r="113" customFormat="false" ht="35.05" hidden="false" customHeight="false" outlineLevel="0" collapsed="false">
      <c r="A113" s="9" t="s">
        <v>172</v>
      </c>
      <c r="B113" s="9" t="n">
        <v>3</v>
      </c>
      <c r="C113" s="9" t="s">
        <v>314</v>
      </c>
      <c r="D113" s="9" t="s">
        <v>173</v>
      </c>
      <c r="E113" s="9"/>
    </row>
    <row r="114" customFormat="false" ht="46.25" hidden="false" customHeight="false" outlineLevel="0" collapsed="false">
      <c r="A114" s="9" t="s">
        <v>176</v>
      </c>
      <c r="B114" s="9" t="n">
        <v>3</v>
      </c>
      <c r="C114" s="9" t="s">
        <v>311</v>
      </c>
      <c r="D114" s="9" t="s">
        <v>177</v>
      </c>
      <c r="E114" s="9"/>
    </row>
    <row r="115" customFormat="false" ht="46.25" hidden="false" customHeight="false" outlineLevel="0" collapsed="false">
      <c r="A115" s="9" t="s">
        <v>176</v>
      </c>
      <c r="B115" s="9" t="n">
        <v>3</v>
      </c>
      <c r="C115" s="9" t="s">
        <v>312</v>
      </c>
      <c r="D115" s="9" t="s">
        <v>177</v>
      </c>
      <c r="E115" s="9"/>
    </row>
    <row r="116" customFormat="false" ht="46.25" hidden="false" customHeight="false" outlineLevel="0" collapsed="false">
      <c r="A116" s="9" t="s">
        <v>176</v>
      </c>
      <c r="B116" s="9" t="n">
        <v>3</v>
      </c>
      <c r="C116" s="9" t="s">
        <v>313</v>
      </c>
      <c r="D116" s="9" t="s">
        <v>177</v>
      </c>
      <c r="E116" s="9"/>
    </row>
    <row r="117" customFormat="false" ht="46.25" hidden="false" customHeight="false" outlineLevel="0" collapsed="false">
      <c r="A117" s="9" t="s">
        <v>176</v>
      </c>
      <c r="B117" s="9" t="n">
        <v>3</v>
      </c>
      <c r="C117" s="9" t="s">
        <v>314</v>
      </c>
      <c r="D117" s="9" t="s">
        <v>177</v>
      </c>
      <c r="E117" s="9"/>
    </row>
    <row r="118" customFormat="false" ht="46.25" hidden="false" customHeight="false" outlineLevel="0" collapsed="false">
      <c r="A118" s="9" t="s">
        <v>180</v>
      </c>
      <c r="B118" s="9" t="n">
        <v>3</v>
      </c>
      <c r="C118" s="9" t="s">
        <v>311</v>
      </c>
      <c r="D118" s="9" t="s">
        <v>181</v>
      </c>
      <c r="E118" s="9"/>
    </row>
    <row r="119" customFormat="false" ht="46.25" hidden="false" customHeight="false" outlineLevel="0" collapsed="false">
      <c r="A119" s="9" t="s">
        <v>180</v>
      </c>
      <c r="B119" s="9" t="n">
        <v>3</v>
      </c>
      <c r="C119" s="9" t="s">
        <v>312</v>
      </c>
      <c r="D119" s="9" t="s">
        <v>181</v>
      </c>
      <c r="E119" s="9"/>
    </row>
    <row r="120" customFormat="false" ht="46.25" hidden="false" customHeight="false" outlineLevel="0" collapsed="false">
      <c r="A120" s="9" t="s">
        <v>180</v>
      </c>
      <c r="B120" s="9" t="n">
        <v>3</v>
      </c>
      <c r="C120" s="9" t="s">
        <v>313</v>
      </c>
      <c r="D120" s="9" t="s">
        <v>181</v>
      </c>
      <c r="E120" s="9"/>
    </row>
    <row r="121" customFormat="false" ht="46.25" hidden="false" customHeight="false" outlineLevel="0" collapsed="false">
      <c r="A121" s="9" t="s">
        <v>180</v>
      </c>
      <c r="B121" s="9" t="n">
        <v>3</v>
      </c>
      <c r="C121" s="9" t="s">
        <v>314</v>
      </c>
      <c r="D121" s="9" t="s">
        <v>181</v>
      </c>
      <c r="E121" s="9"/>
    </row>
    <row r="122" customFormat="false" ht="57.45" hidden="false" customHeight="false" outlineLevel="0" collapsed="false">
      <c r="A122" s="9" t="s">
        <v>184</v>
      </c>
      <c r="B122" s="9" t="n">
        <v>4</v>
      </c>
      <c r="C122" s="9" t="s">
        <v>311</v>
      </c>
      <c r="D122" s="9" t="s">
        <v>186</v>
      </c>
      <c r="E122" s="9"/>
    </row>
    <row r="123" customFormat="false" ht="57.45" hidden="false" customHeight="false" outlineLevel="0" collapsed="false">
      <c r="A123" s="9" t="s">
        <v>184</v>
      </c>
      <c r="B123" s="9" t="n">
        <v>4</v>
      </c>
      <c r="C123" s="9" t="s">
        <v>312</v>
      </c>
      <c r="D123" s="9" t="s">
        <v>186</v>
      </c>
      <c r="E123" s="9"/>
    </row>
    <row r="124" customFormat="false" ht="57.45" hidden="false" customHeight="false" outlineLevel="0" collapsed="false">
      <c r="A124" s="9" t="s">
        <v>184</v>
      </c>
      <c r="B124" s="9" t="n">
        <v>4</v>
      </c>
      <c r="C124" s="9" t="s">
        <v>313</v>
      </c>
      <c r="D124" s="9" t="s">
        <v>186</v>
      </c>
      <c r="E124" s="9"/>
    </row>
    <row r="125" customFormat="false" ht="57.45" hidden="false" customHeight="false" outlineLevel="0" collapsed="false">
      <c r="A125" s="9" t="s">
        <v>184</v>
      </c>
      <c r="B125" s="9" t="n">
        <v>4</v>
      </c>
      <c r="C125" s="9" t="s">
        <v>314</v>
      </c>
      <c r="D125" s="9" t="s">
        <v>186</v>
      </c>
      <c r="E125" s="9"/>
    </row>
    <row r="126" customFormat="false" ht="46.25" hidden="false" customHeight="false" outlineLevel="0" collapsed="false">
      <c r="A126" s="9" t="s">
        <v>189</v>
      </c>
      <c r="B126" s="9" t="n">
        <v>4</v>
      </c>
      <c r="C126" s="9" t="s">
        <v>311</v>
      </c>
      <c r="D126" s="9" t="s">
        <v>190</v>
      </c>
      <c r="E126" s="9"/>
    </row>
    <row r="127" customFormat="false" ht="46.25" hidden="false" customHeight="false" outlineLevel="0" collapsed="false">
      <c r="A127" s="9" t="s">
        <v>189</v>
      </c>
      <c r="B127" s="9" t="n">
        <v>4</v>
      </c>
      <c r="C127" s="9" t="s">
        <v>312</v>
      </c>
      <c r="D127" s="9" t="s">
        <v>190</v>
      </c>
      <c r="E127" s="9"/>
    </row>
    <row r="128" customFormat="false" ht="46.25" hidden="false" customHeight="false" outlineLevel="0" collapsed="false">
      <c r="A128" s="9" t="s">
        <v>189</v>
      </c>
      <c r="B128" s="9" t="n">
        <v>4</v>
      </c>
      <c r="C128" s="9" t="s">
        <v>313</v>
      </c>
      <c r="D128" s="9" t="s">
        <v>190</v>
      </c>
      <c r="E128" s="9"/>
    </row>
    <row r="129" customFormat="false" ht="46.25" hidden="false" customHeight="false" outlineLevel="0" collapsed="false">
      <c r="A129" s="9" t="s">
        <v>189</v>
      </c>
      <c r="B129" s="9" t="n">
        <v>4</v>
      </c>
      <c r="C129" s="9" t="s">
        <v>314</v>
      </c>
      <c r="D129" s="9" t="s">
        <v>190</v>
      </c>
      <c r="E129" s="9"/>
    </row>
    <row r="130" customFormat="false" ht="46.25" hidden="false" customHeight="false" outlineLevel="0" collapsed="false">
      <c r="A130" s="9" t="s">
        <v>193</v>
      </c>
      <c r="B130" s="9" t="n">
        <v>4</v>
      </c>
      <c r="C130" s="9" t="s">
        <v>311</v>
      </c>
      <c r="D130" s="9" t="s">
        <v>194</v>
      </c>
      <c r="E130" s="9"/>
    </row>
    <row r="131" customFormat="false" ht="46.25" hidden="false" customHeight="false" outlineLevel="0" collapsed="false">
      <c r="A131" s="9" t="s">
        <v>193</v>
      </c>
      <c r="B131" s="9" t="n">
        <v>4</v>
      </c>
      <c r="C131" s="9" t="s">
        <v>312</v>
      </c>
      <c r="D131" s="9" t="s">
        <v>194</v>
      </c>
      <c r="E131" s="9"/>
    </row>
    <row r="132" customFormat="false" ht="46.25" hidden="false" customHeight="false" outlineLevel="0" collapsed="false">
      <c r="A132" s="9" t="s">
        <v>193</v>
      </c>
      <c r="B132" s="9" t="n">
        <v>4</v>
      </c>
      <c r="C132" s="9" t="s">
        <v>313</v>
      </c>
      <c r="D132" s="9" t="s">
        <v>194</v>
      </c>
      <c r="E132" s="9"/>
    </row>
    <row r="133" customFormat="false" ht="46.25" hidden="false" customHeight="false" outlineLevel="0" collapsed="false">
      <c r="A133" s="9" t="s">
        <v>193</v>
      </c>
      <c r="B133" s="9" t="n">
        <v>4</v>
      </c>
      <c r="C133" s="9" t="s">
        <v>314</v>
      </c>
      <c r="D133" s="9" t="s">
        <v>194</v>
      </c>
      <c r="E133" s="9"/>
    </row>
    <row r="134" customFormat="false" ht="46.25" hidden="false" customHeight="false" outlineLevel="0" collapsed="false">
      <c r="A134" s="9" t="s">
        <v>197</v>
      </c>
      <c r="B134" s="9" t="n">
        <v>4</v>
      </c>
      <c r="C134" s="9" t="s">
        <v>311</v>
      </c>
      <c r="D134" s="9" t="s">
        <v>198</v>
      </c>
      <c r="E134" s="9"/>
    </row>
    <row r="135" customFormat="false" ht="46.25" hidden="false" customHeight="false" outlineLevel="0" collapsed="false">
      <c r="A135" s="9" t="s">
        <v>197</v>
      </c>
      <c r="B135" s="9" t="n">
        <v>4</v>
      </c>
      <c r="C135" s="9" t="s">
        <v>312</v>
      </c>
      <c r="D135" s="9" t="s">
        <v>198</v>
      </c>
      <c r="E135" s="9"/>
    </row>
    <row r="136" customFormat="false" ht="46.25" hidden="false" customHeight="false" outlineLevel="0" collapsed="false">
      <c r="A136" s="9" t="s">
        <v>197</v>
      </c>
      <c r="B136" s="9" t="n">
        <v>4</v>
      </c>
      <c r="C136" s="9" t="s">
        <v>313</v>
      </c>
      <c r="D136" s="9" t="s">
        <v>198</v>
      </c>
      <c r="E136" s="9"/>
    </row>
    <row r="137" customFormat="false" ht="46.25" hidden="false" customHeight="false" outlineLevel="0" collapsed="false">
      <c r="A137" s="9" t="s">
        <v>197</v>
      </c>
      <c r="B137" s="9" t="n">
        <v>4</v>
      </c>
      <c r="C137" s="9" t="s">
        <v>314</v>
      </c>
      <c r="D137" s="9" t="s">
        <v>198</v>
      </c>
      <c r="E137" s="9"/>
    </row>
    <row r="138" customFormat="false" ht="46.25" hidden="false" customHeight="false" outlineLevel="0" collapsed="false">
      <c r="A138" s="9" t="s">
        <v>201</v>
      </c>
      <c r="B138" s="9" t="n">
        <v>4</v>
      </c>
      <c r="C138" s="9" t="s">
        <v>311</v>
      </c>
      <c r="D138" s="9" t="s">
        <v>202</v>
      </c>
      <c r="E138" s="9"/>
    </row>
    <row r="139" customFormat="false" ht="46.25" hidden="false" customHeight="false" outlineLevel="0" collapsed="false">
      <c r="A139" s="9" t="s">
        <v>201</v>
      </c>
      <c r="B139" s="9" t="n">
        <v>4</v>
      </c>
      <c r="C139" s="9" t="s">
        <v>312</v>
      </c>
      <c r="D139" s="9" t="s">
        <v>202</v>
      </c>
      <c r="E139" s="9"/>
    </row>
    <row r="140" customFormat="false" ht="46.25" hidden="false" customHeight="false" outlineLevel="0" collapsed="false">
      <c r="A140" s="9" t="s">
        <v>201</v>
      </c>
      <c r="B140" s="9" t="n">
        <v>4</v>
      </c>
      <c r="C140" s="9" t="s">
        <v>313</v>
      </c>
      <c r="D140" s="9" t="s">
        <v>202</v>
      </c>
      <c r="E140" s="9"/>
    </row>
    <row r="141" customFormat="false" ht="46.25" hidden="false" customHeight="false" outlineLevel="0" collapsed="false">
      <c r="A141" s="9" t="s">
        <v>201</v>
      </c>
      <c r="B141" s="9" t="n">
        <v>4</v>
      </c>
      <c r="C141" s="9" t="s">
        <v>314</v>
      </c>
      <c r="D141" s="9" t="s">
        <v>202</v>
      </c>
      <c r="E141" s="9"/>
    </row>
    <row r="142" customFormat="false" ht="46.25" hidden="false" customHeight="false" outlineLevel="0" collapsed="false">
      <c r="A142" s="9" t="s">
        <v>205</v>
      </c>
      <c r="B142" s="9" t="n">
        <v>4</v>
      </c>
      <c r="C142" s="9" t="s">
        <v>311</v>
      </c>
      <c r="D142" s="9" t="s">
        <v>206</v>
      </c>
      <c r="E142" s="9"/>
    </row>
    <row r="143" customFormat="false" ht="46.25" hidden="false" customHeight="false" outlineLevel="0" collapsed="false">
      <c r="A143" s="9" t="s">
        <v>205</v>
      </c>
      <c r="B143" s="9" t="n">
        <v>4</v>
      </c>
      <c r="C143" s="9" t="s">
        <v>312</v>
      </c>
      <c r="D143" s="9" t="s">
        <v>206</v>
      </c>
      <c r="E143" s="9"/>
    </row>
    <row r="144" customFormat="false" ht="46.25" hidden="false" customHeight="false" outlineLevel="0" collapsed="false">
      <c r="A144" s="9" t="s">
        <v>205</v>
      </c>
      <c r="B144" s="9" t="n">
        <v>4</v>
      </c>
      <c r="C144" s="9" t="s">
        <v>313</v>
      </c>
      <c r="D144" s="9" t="s">
        <v>206</v>
      </c>
      <c r="E144" s="9"/>
    </row>
    <row r="145" customFormat="false" ht="46.25" hidden="false" customHeight="false" outlineLevel="0" collapsed="false">
      <c r="A145" s="9" t="s">
        <v>205</v>
      </c>
      <c r="B145" s="9" t="n">
        <v>4</v>
      </c>
      <c r="C145" s="9" t="s">
        <v>314</v>
      </c>
      <c r="D145" s="9" t="s">
        <v>206</v>
      </c>
      <c r="E145" s="9"/>
    </row>
    <row r="146" customFormat="false" ht="46.25" hidden="false" customHeight="false" outlineLevel="0" collapsed="false">
      <c r="A146" s="9" t="s">
        <v>209</v>
      </c>
      <c r="B146" s="9" t="n">
        <v>4</v>
      </c>
      <c r="C146" s="9" t="s">
        <v>311</v>
      </c>
      <c r="D146" s="9" t="s">
        <v>210</v>
      </c>
      <c r="E146" s="9"/>
    </row>
    <row r="147" customFormat="false" ht="46.25" hidden="false" customHeight="false" outlineLevel="0" collapsed="false">
      <c r="A147" s="9" t="s">
        <v>209</v>
      </c>
      <c r="B147" s="9" t="n">
        <v>4</v>
      </c>
      <c r="C147" s="9" t="s">
        <v>312</v>
      </c>
      <c r="D147" s="9" t="s">
        <v>210</v>
      </c>
      <c r="E147" s="9"/>
    </row>
    <row r="148" customFormat="false" ht="46.25" hidden="false" customHeight="false" outlineLevel="0" collapsed="false">
      <c r="A148" s="9" t="s">
        <v>209</v>
      </c>
      <c r="B148" s="9" t="n">
        <v>4</v>
      </c>
      <c r="C148" s="9" t="s">
        <v>313</v>
      </c>
      <c r="D148" s="9" t="s">
        <v>210</v>
      </c>
      <c r="E148" s="9"/>
    </row>
    <row r="149" customFormat="false" ht="46.25" hidden="false" customHeight="false" outlineLevel="0" collapsed="false">
      <c r="A149" s="9" t="s">
        <v>209</v>
      </c>
      <c r="B149" s="9" t="n">
        <v>4</v>
      </c>
      <c r="C149" s="9" t="s">
        <v>314</v>
      </c>
      <c r="D149" s="9" t="s">
        <v>210</v>
      </c>
      <c r="E149" s="9"/>
    </row>
    <row r="150" customFormat="false" ht="35.05" hidden="false" customHeight="false" outlineLevel="0" collapsed="false">
      <c r="A150" s="9" t="s">
        <v>213</v>
      </c>
      <c r="B150" s="9" t="n">
        <v>4</v>
      </c>
      <c r="C150" s="9" t="s">
        <v>311</v>
      </c>
      <c r="D150" s="9" t="s">
        <v>214</v>
      </c>
      <c r="E150" s="9"/>
    </row>
    <row r="151" customFormat="false" ht="35.05" hidden="false" customHeight="false" outlineLevel="0" collapsed="false">
      <c r="A151" s="9" t="s">
        <v>213</v>
      </c>
      <c r="B151" s="9" t="n">
        <v>4</v>
      </c>
      <c r="C151" s="9" t="s">
        <v>312</v>
      </c>
      <c r="D151" s="9" t="s">
        <v>214</v>
      </c>
      <c r="E151" s="9"/>
    </row>
    <row r="152" customFormat="false" ht="35.05" hidden="false" customHeight="false" outlineLevel="0" collapsed="false">
      <c r="A152" s="9" t="s">
        <v>213</v>
      </c>
      <c r="B152" s="9" t="n">
        <v>4</v>
      </c>
      <c r="C152" s="9" t="s">
        <v>313</v>
      </c>
      <c r="D152" s="9" t="s">
        <v>214</v>
      </c>
      <c r="E152" s="9"/>
    </row>
    <row r="153" customFormat="false" ht="35.05" hidden="false" customHeight="false" outlineLevel="0" collapsed="false">
      <c r="A153" s="9" t="s">
        <v>213</v>
      </c>
      <c r="B153" s="9" t="n">
        <v>4</v>
      </c>
      <c r="C153" s="9" t="s">
        <v>314</v>
      </c>
      <c r="D153" s="9" t="s">
        <v>214</v>
      </c>
      <c r="E153" s="9"/>
    </row>
    <row r="154" customFormat="false" ht="35.05" hidden="false" customHeight="false" outlineLevel="0" collapsed="false">
      <c r="A154" s="9" t="s">
        <v>217</v>
      </c>
      <c r="B154" s="9" t="n">
        <v>4</v>
      </c>
      <c r="C154" s="9" t="s">
        <v>311</v>
      </c>
      <c r="D154" s="9" t="s">
        <v>218</v>
      </c>
      <c r="E154" s="9"/>
    </row>
    <row r="155" customFormat="false" ht="35.05" hidden="false" customHeight="false" outlineLevel="0" collapsed="false">
      <c r="A155" s="9" t="s">
        <v>217</v>
      </c>
      <c r="B155" s="9" t="n">
        <v>4</v>
      </c>
      <c r="C155" s="9" t="s">
        <v>312</v>
      </c>
      <c r="D155" s="9" t="s">
        <v>218</v>
      </c>
      <c r="E155" s="9"/>
    </row>
    <row r="156" customFormat="false" ht="35.05" hidden="false" customHeight="false" outlineLevel="0" collapsed="false">
      <c r="A156" s="9" t="s">
        <v>217</v>
      </c>
      <c r="B156" s="9" t="n">
        <v>4</v>
      </c>
      <c r="C156" s="9" t="s">
        <v>313</v>
      </c>
      <c r="D156" s="9" t="s">
        <v>218</v>
      </c>
      <c r="E156" s="9"/>
    </row>
    <row r="157" customFormat="false" ht="35.05" hidden="false" customHeight="false" outlineLevel="0" collapsed="false">
      <c r="A157" s="9" t="s">
        <v>217</v>
      </c>
      <c r="B157" s="9" t="n">
        <v>4</v>
      </c>
      <c r="C157" s="9" t="s">
        <v>314</v>
      </c>
      <c r="D157" s="9" t="s">
        <v>218</v>
      </c>
      <c r="E157" s="9"/>
    </row>
    <row r="158" customFormat="false" ht="35.05" hidden="false" customHeight="false" outlineLevel="0" collapsed="false">
      <c r="A158" s="9" t="s">
        <v>221</v>
      </c>
      <c r="B158" s="9" t="n">
        <v>4</v>
      </c>
      <c r="C158" s="9" t="s">
        <v>311</v>
      </c>
      <c r="D158" s="9" t="s">
        <v>222</v>
      </c>
      <c r="E158" s="9"/>
    </row>
    <row r="159" customFormat="false" ht="35.05" hidden="false" customHeight="false" outlineLevel="0" collapsed="false">
      <c r="A159" s="9" t="s">
        <v>221</v>
      </c>
      <c r="B159" s="9" t="n">
        <v>4</v>
      </c>
      <c r="C159" s="9" t="s">
        <v>312</v>
      </c>
      <c r="D159" s="9" t="s">
        <v>222</v>
      </c>
      <c r="E159" s="9"/>
    </row>
    <row r="160" customFormat="false" ht="35.05" hidden="false" customHeight="false" outlineLevel="0" collapsed="false">
      <c r="A160" s="9" t="s">
        <v>221</v>
      </c>
      <c r="B160" s="9" t="n">
        <v>4</v>
      </c>
      <c r="C160" s="9" t="s">
        <v>313</v>
      </c>
      <c r="D160" s="9" t="s">
        <v>222</v>
      </c>
      <c r="E160" s="9"/>
    </row>
    <row r="161" customFormat="false" ht="35.05" hidden="false" customHeight="false" outlineLevel="0" collapsed="false">
      <c r="A161" s="9" t="s">
        <v>221</v>
      </c>
      <c r="B161" s="9" t="n">
        <v>4</v>
      </c>
      <c r="C161" s="9" t="s">
        <v>314</v>
      </c>
      <c r="D161" s="9" t="s">
        <v>222</v>
      </c>
      <c r="E161" s="9"/>
    </row>
    <row r="162" customFormat="false" ht="35.05" hidden="false" customHeight="false" outlineLevel="0" collapsed="false">
      <c r="A162" s="9" t="s">
        <v>225</v>
      </c>
      <c r="B162" s="9" t="n">
        <v>5</v>
      </c>
      <c r="C162" s="9" t="s">
        <v>311</v>
      </c>
      <c r="D162" s="9" t="s">
        <v>227</v>
      </c>
      <c r="E162" s="9"/>
    </row>
    <row r="163" customFormat="false" ht="35.05" hidden="false" customHeight="false" outlineLevel="0" collapsed="false">
      <c r="A163" s="9" t="s">
        <v>225</v>
      </c>
      <c r="B163" s="9" t="n">
        <v>5</v>
      </c>
      <c r="C163" s="9" t="s">
        <v>312</v>
      </c>
      <c r="D163" s="9" t="s">
        <v>227</v>
      </c>
      <c r="E163" s="9"/>
    </row>
    <row r="164" customFormat="false" ht="35.05" hidden="false" customHeight="false" outlineLevel="0" collapsed="false">
      <c r="A164" s="9" t="s">
        <v>225</v>
      </c>
      <c r="B164" s="9" t="n">
        <v>5</v>
      </c>
      <c r="C164" s="9" t="s">
        <v>313</v>
      </c>
      <c r="D164" s="9" t="s">
        <v>227</v>
      </c>
      <c r="E164" s="9"/>
    </row>
    <row r="165" customFormat="false" ht="35.05" hidden="false" customHeight="false" outlineLevel="0" collapsed="false">
      <c r="A165" s="9" t="s">
        <v>225</v>
      </c>
      <c r="B165" s="9" t="n">
        <v>5</v>
      </c>
      <c r="C165" s="9" t="s">
        <v>314</v>
      </c>
      <c r="D165" s="9" t="s">
        <v>227</v>
      </c>
      <c r="E165" s="9"/>
    </row>
    <row r="166" customFormat="false" ht="35.05" hidden="false" customHeight="false" outlineLevel="0" collapsed="false">
      <c r="A166" s="9" t="s">
        <v>231</v>
      </c>
      <c r="B166" s="9" t="n">
        <v>5</v>
      </c>
      <c r="C166" s="9" t="s">
        <v>311</v>
      </c>
      <c r="D166" s="9" t="s">
        <v>232</v>
      </c>
      <c r="E166" s="9"/>
    </row>
    <row r="167" customFormat="false" ht="35.05" hidden="false" customHeight="false" outlineLevel="0" collapsed="false">
      <c r="A167" s="9" t="s">
        <v>231</v>
      </c>
      <c r="B167" s="9" t="n">
        <v>5</v>
      </c>
      <c r="C167" s="9" t="s">
        <v>312</v>
      </c>
      <c r="D167" s="9" t="s">
        <v>232</v>
      </c>
      <c r="E167" s="9"/>
    </row>
    <row r="168" customFormat="false" ht="35.05" hidden="false" customHeight="false" outlineLevel="0" collapsed="false">
      <c r="A168" s="9" t="s">
        <v>231</v>
      </c>
      <c r="B168" s="9" t="n">
        <v>5</v>
      </c>
      <c r="C168" s="9" t="s">
        <v>313</v>
      </c>
      <c r="D168" s="9" t="s">
        <v>232</v>
      </c>
      <c r="E168" s="9"/>
    </row>
    <row r="169" customFormat="false" ht="35.05" hidden="false" customHeight="false" outlineLevel="0" collapsed="false">
      <c r="A169" s="9" t="s">
        <v>231</v>
      </c>
      <c r="B169" s="9" t="n">
        <v>5</v>
      </c>
      <c r="C169" s="9" t="s">
        <v>314</v>
      </c>
      <c r="D169" s="9" t="s">
        <v>232</v>
      </c>
      <c r="E169" s="9"/>
    </row>
    <row r="170" customFormat="false" ht="46.25" hidden="false" customHeight="false" outlineLevel="0" collapsed="false">
      <c r="A170" s="9" t="s">
        <v>236</v>
      </c>
      <c r="B170" s="9" t="n">
        <v>5</v>
      </c>
      <c r="C170" s="9" t="s">
        <v>311</v>
      </c>
      <c r="D170" s="9" t="s">
        <v>237</v>
      </c>
      <c r="E170" s="9"/>
    </row>
    <row r="171" customFormat="false" ht="46.25" hidden="false" customHeight="false" outlineLevel="0" collapsed="false">
      <c r="A171" s="9" t="s">
        <v>236</v>
      </c>
      <c r="B171" s="9" t="n">
        <v>5</v>
      </c>
      <c r="C171" s="9" t="s">
        <v>312</v>
      </c>
      <c r="D171" s="9" t="s">
        <v>237</v>
      </c>
      <c r="E171" s="9"/>
    </row>
    <row r="172" customFormat="false" ht="46.25" hidden="false" customHeight="false" outlineLevel="0" collapsed="false">
      <c r="A172" s="9" t="s">
        <v>236</v>
      </c>
      <c r="B172" s="9" t="n">
        <v>5</v>
      </c>
      <c r="C172" s="9" t="s">
        <v>313</v>
      </c>
      <c r="D172" s="9" t="s">
        <v>237</v>
      </c>
      <c r="E172" s="9"/>
    </row>
    <row r="173" customFormat="false" ht="46.25" hidden="false" customHeight="false" outlineLevel="0" collapsed="false">
      <c r="A173" s="9" t="s">
        <v>236</v>
      </c>
      <c r="B173" s="9" t="n">
        <v>5</v>
      </c>
      <c r="C173" s="9" t="s">
        <v>314</v>
      </c>
      <c r="D173" s="9" t="s">
        <v>237</v>
      </c>
      <c r="E173" s="9"/>
    </row>
    <row r="174" customFormat="false" ht="35.05" hidden="false" customHeight="false" outlineLevel="0" collapsed="false">
      <c r="A174" s="9" t="s">
        <v>241</v>
      </c>
      <c r="B174" s="9" t="n">
        <v>5</v>
      </c>
      <c r="C174" s="9" t="s">
        <v>311</v>
      </c>
      <c r="D174" s="9" t="s">
        <v>242</v>
      </c>
      <c r="E174" s="9"/>
    </row>
    <row r="175" customFormat="false" ht="35.05" hidden="false" customHeight="false" outlineLevel="0" collapsed="false">
      <c r="A175" s="9" t="s">
        <v>241</v>
      </c>
      <c r="B175" s="9" t="n">
        <v>5</v>
      </c>
      <c r="C175" s="9" t="s">
        <v>312</v>
      </c>
      <c r="D175" s="9" t="s">
        <v>242</v>
      </c>
      <c r="E175" s="9"/>
    </row>
    <row r="176" customFormat="false" ht="35.05" hidden="false" customHeight="false" outlineLevel="0" collapsed="false">
      <c r="A176" s="9" t="s">
        <v>241</v>
      </c>
      <c r="B176" s="9" t="n">
        <v>5</v>
      </c>
      <c r="C176" s="9" t="s">
        <v>313</v>
      </c>
      <c r="D176" s="9" t="s">
        <v>242</v>
      </c>
      <c r="E176" s="9"/>
    </row>
    <row r="177" customFormat="false" ht="35.05" hidden="false" customHeight="false" outlineLevel="0" collapsed="false">
      <c r="A177" s="9" t="s">
        <v>241</v>
      </c>
      <c r="B177" s="9" t="n">
        <v>5</v>
      </c>
      <c r="C177" s="9" t="s">
        <v>314</v>
      </c>
      <c r="D177" s="9" t="s">
        <v>242</v>
      </c>
      <c r="E177" s="9"/>
    </row>
    <row r="178" customFormat="false" ht="35.05" hidden="false" customHeight="false" outlineLevel="0" collapsed="false">
      <c r="A178" s="9" t="s">
        <v>246</v>
      </c>
      <c r="B178" s="9" t="n">
        <v>5</v>
      </c>
      <c r="C178" s="9" t="s">
        <v>311</v>
      </c>
      <c r="D178" s="9" t="s">
        <v>247</v>
      </c>
      <c r="E178" s="9"/>
    </row>
    <row r="179" customFormat="false" ht="35.05" hidden="false" customHeight="false" outlineLevel="0" collapsed="false">
      <c r="A179" s="9" t="s">
        <v>246</v>
      </c>
      <c r="B179" s="9" t="n">
        <v>5</v>
      </c>
      <c r="C179" s="9" t="s">
        <v>312</v>
      </c>
      <c r="D179" s="9" t="s">
        <v>247</v>
      </c>
      <c r="E179" s="9"/>
    </row>
    <row r="180" customFormat="false" ht="35.05" hidden="false" customHeight="false" outlineLevel="0" collapsed="false">
      <c r="A180" s="9" t="s">
        <v>246</v>
      </c>
      <c r="B180" s="9" t="n">
        <v>5</v>
      </c>
      <c r="C180" s="9" t="s">
        <v>313</v>
      </c>
      <c r="D180" s="9" t="s">
        <v>247</v>
      </c>
      <c r="E180" s="9"/>
    </row>
    <row r="181" customFormat="false" ht="35.05" hidden="false" customHeight="false" outlineLevel="0" collapsed="false">
      <c r="A181" s="9" t="s">
        <v>246</v>
      </c>
      <c r="B181" s="9" t="n">
        <v>5</v>
      </c>
      <c r="C181" s="9" t="s">
        <v>314</v>
      </c>
      <c r="D181" s="9" t="s">
        <v>247</v>
      </c>
      <c r="E181" s="9"/>
    </row>
    <row r="182" customFormat="false" ht="35.05" hidden="false" customHeight="false" outlineLevel="0" collapsed="false">
      <c r="A182" s="9" t="s">
        <v>250</v>
      </c>
      <c r="B182" s="9" t="n">
        <v>5</v>
      </c>
      <c r="C182" s="9" t="s">
        <v>311</v>
      </c>
      <c r="D182" s="9" t="s">
        <v>251</v>
      </c>
      <c r="E182" s="9"/>
    </row>
    <row r="183" customFormat="false" ht="35.05" hidden="false" customHeight="false" outlineLevel="0" collapsed="false">
      <c r="A183" s="9" t="s">
        <v>250</v>
      </c>
      <c r="B183" s="9" t="n">
        <v>5</v>
      </c>
      <c r="C183" s="9" t="s">
        <v>312</v>
      </c>
      <c r="D183" s="9" t="s">
        <v>251</v>
      </c>
      <c r="E183" s="9"/>
    </row>
    <row r="184" customFormat="false" ht="35.05" hidden="false" customHeight="false" outlineLevel="0" collapsed="false">
      <c r="A184" s="9" t="s">
        <v>250</v>
      </c>
      <c r="B184" s="9" t="n">
        <v>5</v>
      </c>
      <c r="C184" s="9" t="s">
        <v>313</v>
      </c>
      <c r="D184" s="9" t="s">
        <v>251</v>
      </c>
      <c r="E184" s="9"/>
    </row>
    <row r="185" customFormat="false" ht="35.05" hidden="false" customHeight="false" outlineLevel="0" collapsed="false">
      <c r="A185" s="9" t="s">
        <v>250</v>
      </c>
      <c r="B185" s="9" t="n">
        <v>5</v>
      </c>
      <c r="C185" s="9" t="s">
        <v>314</v>
      </c>
      <c r="D185" s="9" t="s">
        <v>251</v>
      </c>
      <c r="E185" s="9"/>
    </row>
    <row r="186" customFormat="false" ht="35.05" hidden="false" customHeight="false" outlineLevel="0" collapsed="false">
      <c r="A186" s="9" t="s">
        <v>255</v>
      </c>
      <c r="B186" s="9" t="n">
        <v>5</v>
      </c>
      <c r="C186" s="9" t="s">
        <v>311</v>
      </c>
      <c r="D186" s="9" t="s">
        <v>256</v>
      </c>
      <c r="E186" s="9"/>
    </row>
    <row r="187" customFormat="false" ht="35.05" hidden="false" customHeight="false" outlineLevel="0" collapsed="false">
      <c r="A187" s="9" t="s">
        <v>255</v>
      </c>
      <c r="B187" s="9" t="n">
        <v>5</v>
      </c>
      <c r="C187" s="9" t="s">
        <v>312</v>
      </c>
      <c r="D187" s="9" t="s">
        <v>256</v>
      </c>
      <c r="E187" s="9"/>
    </row>
    <row r="188" customFormat="false" ht="35.05" hidden="false" customHeight="false" outlineLevel="0" collapsed="false">
      <c r="A188" s="9" t="s">
        <v>255</v>
      </c>
      <c r="B188" s="9" t="n">
        <v>5</v>
      </c>
      <c r="C188" s="9" t="s">
        <v>313</v>
      </c>
      <c r="D188" s="9" t="s">
        <v>256</v>
      </c>
      <c r="E188" s="9"/>
    </row>
    <row r="189" customFormat="false" ht="35.05" hidden="false" customHeight="false" outlineLevel="0" collapsed="false">
      <c r="A189" s="9" t="s">
        <v>255</v>
      </c>
      <c r="B189" s="9" t="n">
        <v>5</v>
      </c>
      <c r="C189" s="9" t="s">
        <v>314</v>
      </c>
      <c r="D189" s="9" t="s">
        <v>256</v>
      </c>
      <c r="E189" s="9"/>
    </row>
    <row r="190" customFormat="false" ht="35.05" hidden="false" customHeight="false" outlineLevel="0" collapsed="false">
      <c r="A190" s="9" t="s">
        <v>259</v>
      </c>
      <c r="B190" s="9" t="n">
        <v>5</v>
      </c>
      <c r="C190" s="9" t="s">
        <v>311</v>
      </c>
      <c r="D190" s="9" t="s">
        <v>260</v>
      </c>
      <c r="E190" s="9"/>
    </row>
    <row r="191" customFormat="false" ht="35.05" hidden="false" customHeight="false" outlineLevel="0" collapsed="false">
      <c r="A191" s="9" t="s">
        <v>259</v>
      </c>
      <c r="B191" s="9" t="n">
        <v>5</v>
      </c>
      <c r="C191" s="9" t="s">
        <v>312</v>
      </c>
      <c r="D191" s="9" t="s">
        <v>260</v>
      </c>
      <c r="E191" s="9"/>
    </row>
    <row r="192" customFormat="false" ht="35.05" hidden="false" customHeight="false" outlineLevel="0" collapsed="false">
      <c r="A192" s="9" t="s">
        <v>259</v>
      </c>
      <c r="B192" s="9" t="n">
        <v>5</v>
      </c>
      <c r="C192" s="9" t="s">
        <v>313</v>
      </c>
      <c r="D192" s="9" t="s">
        <v>260</v>
      </c>
      <c r="E192" s="9"/>
    </row>
    <row r="193" customFormat="false" ht="35.05" hidden="false" customHeight="false" outlineLevel="0" collapsed="false">
      <c r="A193" s="9" t="s">
        <v>259</v>
      </c>
      <c r="B193" s="9" t="n">
        <v>5</v>
      </c>
      <c r="C193" s="9" t="s">
        <v>314</v>
      </c>
      <c r="D193" s="9" t="s">
        <v>260</v>
      </c>
      <c r="E193" s="9"/>
    </row>
    <row r="194" customFormat="false" ht="35.05" hidden="false" customHeight="false" outlineLevel="0" collapsed="false">
      <c r="A194" s="9" t="s">
        <v>264</v>
      </c>
      <c r="B194" s="9" t="n">
        <v>5</v>
      </c>
      <c r="C194" s="9" t="s">
        <v>311</v>
      </c>
      <c r="D194" s="9" t="s">
        <v>265</v>
      </c>
      <c r="E194" s="9"/>
    </row>
    <row r="195" customFormat="false" ht="35.05" hidden="false" customHeight="false" outlineLevel="0" collapsed="false">
      <c r="A195" s="9" t="s">
        <v>264</v>
      </c>
      <c r="B195" s="9" t="n">
        <v>5</v>
      </c>
      <c r="C195" s="9" t="s">
        <v>312</v>
      </c>
      <c r="D195" s="9" t="s">
        <v>265</v>
      </c>
      <c r="E195" s="9"/>
    </row>
    <row r="196" customFormat="false" ht="35.05" hidden="false" customHeight="false" outlineLevel="0" collapsed="false">
      <c r="A196" s="9" t="s">
        <v>264</v>
      </c>
      <c r="B196" s="9" t="n">
        <v>5</v>
      </c>
      <c r="C196" s="9" t="s">
        <v>313</v>
      </c>
      <c r="D196" s="9" t="s">
        <v>265</v>
      </c>
      <c r="E196" s="9"/>
    </row>
    <row r="197" customFormat="false" ht="35.05" hidden="false" customHeight="false" outlineLevel="0" collapsed="false">
      <c r="A197" s="9" t="s">
        <v>264</v>
      </c>
      <c r="B197" s="9" t="n">
        <v>5</v>
      </c>
      <c r="C197" s="9" t="s">
        <v>314</v>
      </c>
      <c r="D197" s="9" t="s">
        <v>265</v>
      </c>
      <c r="E197" s="9"/>
    </row>
    <row r="198" customFormat="false" ht="46.25" hidden="false" customHeight="false" outlineLevel="0" collapsed="false">
      <c r="A198" s="9" t="s">
        <v>269</v>
      </c>
      <c r="B198" s="9" t="n">
        <v>5</v>
      </c>
      <c r="C198" s="9" t="s">
        <v>311</v>
      </c>
      <c r="D198" s="9" t="s">
        <v>270</v>
      </c>
      <c r="E198" s="9"/>
    </row>
    <row r="199" customFormat="false" ht="46.25" hidden="false" customHeight="false" outlineLevel="0" collapsed="false">
      <c r="A199" s="9" t="s">
        <v>269</v>
      </c>
      <c r="B199" s="9" t="n">
        <v>5</v>
      </c>
      <c r="C199" s="9" t="s">
        <v>312</v>
      </c>
      <c r="D199" s="9" t="s">
        <v>270</v>
      </c>
      <c r="E199" s="9"/>
    </row>
    <row r="200" customFormat="false" ht="46.25" hidden="false" customHeight="false" outlineLevel="0" collapsed="false">
      <c r="A200" s="9" t="s">
        <v>269</v>
      </c>
      <c r="B200" s="9" t="n">
        <v>5</v>
      </c>
      <c r="C200" s="9" t="s">
        <v>313</v>
      </c>
      <c r="D200" s="9" t="s">
        <v>270</v>
      </c>
      <c r="E200" s="9"/>
    </row>
    <row r="201" customFormat="false" ht="46.25" hidden="false" customHeight="false" outlineLevel="0" collapsed="false">
      <c r="A201" s="9" t="s">
        <v>269</v>
      </c>
      <c r="B201" s="9" t="n">
        <v>5</v>
      </c>
      <c r="C201" s="9" t="s">
        <v>314</v>
      </c>
      <c r="D201" s="9" t="s">
        <v>270</v>
      </c>
      <c r="E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5" min="4" style="0" width="15"/>
    <col collapsed="false" customWidth="true" hidden="false" outlineLevel="0" max="6" min="6" style="0" width="18"/>
    <col collapsed="false" customWidth="true" hidden="false" outlineLevel="0" max="7" min="7" style="0" width="11"/>
    <col collapsed="false" customWidth="true" hidden="false" outlineLevel="0" max="8" min="8" style="0" width="46"/>
  </cols>
  <sheetData>
    <row r="1" customFormat="false" ht="30" hidden="false" customHeight="true" outlineLevel="0" collapsed="false">
      <c r="A1" s="6" t="s">
        <v>46</v>
      </c>
      <c r="B1" s="6" t="s">
        <v>47</v>
      </c>
      <c r="C1" s="6" t="s">
        <v>308</v>
      </c>
      <c r="D1" s="6" t="s">
        <v>315</v>
      </c>
      <c r="E1" s="6" t="s">
        <v>316</v>
      </c>
      <c r="F1" s="6" t="s">
        <v>317</v>
      </c>
      <c r="G1" s="6" t="s">
        <v>318</v>
      </c>
      <c r="H1" s="6" t="s">
        <v>319</v>
      </c>
    </row>
    <row r="2" customFormat="false" ht="15" hidden="false" customHeight="false" outlineLevel="0" collapsed="false">
      <c r="A2" s="18" t="s">
        <v>55</v>
      </c>
      <c r="B2" s="18" t="n">
        <v>1</v>
      </c>
      <c r="C2" s="18" t="s">
        <v>311</v>
      </c>
      <c r="D2" s="18"/>
      <c r="E2" s="18"/>
      <c r="F2" s="18"/>
      <c r="G2" s="18" t="str">
        <f aca="false">IF(COUNT(D2:F2)=3,SUM(D2:F2),"")</f>
        <v/>
      </c>
      <c r="H2" s="9"/>
    </row>
    <row r="3" customFormat="false" ht="15" hidden="false" customHeight="false" outlineLevel="0" collapsed="false">
      <c r="A3" s="18" t="s">
        <v>55</v>
      </c>
      <c r="B3" s="18" t="n">
        <v>1</v>
      </c>
      <c r="C3" s="18" t="s">
        <v>312</v>
      </c>
      <c r="D3" s="18"/>
      <c r="E3" s="18"/>
      <c r="F3" s="18"/>
      <c r="G3" s="18" t="str">
        <f aca="false">IF(COUNT(D3:F3)=3,SUM(D3:F3),"")</f>
        <v/>
      </c>
      <c r="H3" s="9"/>
    </row>
    <row r="4" customFormat="false" ht="15" hidden="false" customHeight="false" outlineLevel="0" collapsed="false">
      <c r="A4" s="18" t="s">
        <v>55</v>
      </c>
      <c r="B4" s="18" t="n">
        <v>1</v>
      </c>
      <c r="C4" s="18" t="s">
        <v>313</v>
      </c>
      <c r="D4" s="18"/>
      <c r="E4" s="18"/>
      <c r="F4" s="18"/>
      <c r="G4" s="18" t="str">
        <f aca="false">IF(COUNT(D4:F4)=3,SUM(D4:F4),"")</f>
        <v/>
      </c>
      <c r="H4" s="9"/>
    </row>
    <row r="5" customFormat="false" ht="15" hidden="false" customHeight="false" outlineLevel="0" collapsed="false">
      <c r="A5" s="18" t="s">
        <v>55</v>
      </c>
      <c r="B5" s="18" t="n">
        <v>1</v>
      </c>
      <c r="C5" s="18" t="s">
        <v>314</v>
      </c>
      <c r="D5" s="18"/>
      <c r="E5" s="18"/>
      <c r="F5" s="18"/>
      <c r="G5" s="18" t="str">
        <f aca="false">IF(COUNT(D5:F5)=3,SUM(D5:F5),"")</f>
        <v/>
      </c>
      <c r="H5" s="9"/>
    </row>
    <row r="6" customFormat="false" ht="15" hidden="false" customHeight="false" outlineLevel="0" collapsed="false">
      <c r="A6" s="18" t="s">
        <v>63</v>
      </c>
      <c r="B6" s="18" t="n">
        <v>1</v>
      </c>
      <c r="C6" s="18" t="s">
        <v>311</v>
      </c>
      <c r="D6" s="18"/>
      <c r="E6" s="18"/>
      <c r="F6" s="18"/>
      <c r="G6" s="18" t="str">
        <f aca="false">IF(COUNT(D6:F6)=3,SUM(D6:F6),"")</f>
        <v/>
      </c>
      <c r="H6" s="9"/>
    </row>
    <row r="7" customFormat="false" ht="15" hidden="false" customHeight="false" outlineLevel="0" collapsed="false">
      <c r="A7" s="18" t="s">
        <v>63</v>
      </c>
      <c r="B7" s="18" t="n">
        <v>1</v>
      </c>
      <c r="C7" s="18" t="s">
        <v>312</v>
      </c>
      <c r="D7" s="18"/>
      <c r="E7" s="18"/>
      <c r="F7" s="18"/>
      <c r="G7" s="18" t="str">
        <f aca="false">IF(COUNT(D7:F7)=3,SUM(D7:F7),"")</f>
        <v/>
      </c>
      <c r="H7" s="9"/>
    </row>
    <row r="8" customFormat="false" ht="15" hidden="false" customHeight="false" outlineLevel="0" collapsed="false">
      <c r="A8" s="18" t="s">
        <v>63</v>
      </c>
      <c r="B8" s="18" t="n">
        <v>1</v>
      </c>
      <c r="C8" s="18" t="s">
        <v>313</v>
      </c>
      <c r="D8" s="18"/>
      <c r="E8" s="18"/>
      <c r="F8" s="18"/>
      <c r="G8" s="18" t="str">
        <f aca="false">IF(COUNT(D8:F8)=3,SUM(D8:F8),"")</f>
        <v/>
      </c>
      <c r="H8" s="9"/>
    </row>
    <row r="9" customFormat="false" ht="15" hidden="false" customHeight="false" outlineLevel="0" collapsed="false">
      <c r="A9" s="18" t="s">
        <v>63</v>
      </c>
      <c r="B9" s="18" t="n">
        <v>1</v>
      </c>
      <c r="C9" s="18" t="s">
        <v>314</v>
      </c>
      <c r="D9" s="18"/>
      <c r="E9" s="18"/>
      <c r="F9" s="18"/>
      <c r="G9" s="18" t="str">
        <f aca="false">IF(COUNT(D9:F9)=3,SUM(D9:F9),"")</f>
        <v/>
      </c>
      <c r="H9" s="9"/>
    </row>
    <row r="10" customFormat="false" ht="15" hidden="false" customHeight="false" outlineLevel="0" collapsed="false">
      <c r="A10" s="18" t="s">
        <v>67</v>
      </c>
      <c r="B10" s="18" t="n">
        <v>1</v>
      </c>
      <c r="C10" s="18" t="s">
        <v>311</v>
      </c>
      <c r="D10" s="18"/>
      <c r="E10" s="18"/>
      <c r="F10" s="18"/>
      <c r="G10" s="18" t="str">
        <f aca="false">IF(COUNT(D10:F10)=3,SUM(D10:F10),"")</f>
        <v/>
      </c>
      <c r="H10" s="9"/>
    </row>
    <row r="11" customFormat="false" ht="15" hidden="false" customHeight="false" outlineLevel="0" collapsed="false">
      <c r="A11" s="18" t="s">
        <v>67</v>
      </c>
      <c r="B11" s="18" t="n">
        <v>1</v>
      </c>
      <c r="C11" s="18" t="s">
        <v>312</v>
      </c>
      <c r="D11" s="18"/>
      <c r="E11" s="18"/>
      <c r="F11" s="18"/>
      <c r="G11" s="18" t="str">
        <f aca="false">IF(COUNT(D11:F11)=3,SUM(D11:F11),"")</f>
        <v/>
      </c>
      <c r="H11" s="9"/>
    </row>
    <row r="12" customFormat="false" ht="15" hidden="false" customHeight="false" outlineLevel="0" collapsed="false">
      <c r="A12" s="18" t="s">
        <v>67</v>
      </c>
      <c r="B12" s="18" t="n">
        <v>1</v>
      </c>
      <c r="C12" s="18" t="s">
        <v>313</v>
      </c>
      <c r="D12" s="18"/>
      <c r="E12" s="18"/>
      <c r="F12" s="18"/>
      <c r="G12" s="18" t="str">
        <f aca="false">IF(COUNT(D12:F12)=3,SUM(D12:F12),"")</f>
        <v/>
      </c>
      <c r="H12" s="9"/>
    </row>
    <row r="13" customFormat="false" ht="15" hidden="false" customHeight="false" outlineLevel="0" collapsed="false">
      <c r="A13" s="18" t="s">
        <v>67</v>
      </c>
      <c r="B13" s="18" t="n">
        <v>1</v>
      </c>
      <c r="C13" s="18" t="s">
        <v>314</v>
      </c>
      <c r="D13" s="18"/>
      <c r="E13" s="18"/>
      <c r="F13" s="18"/>
      <c r="G13" s="18" t="str">
        <f aca="false">IF(COUNT(D13:F13)=3,SUM(D13:F13),"")</f>
        <v/>
      </c>
      <c r="H13" s="9"/>
    </row>
    <row r="14" customFormat="false" ht="15" hidden="false" customHeight="false" outlineLevel="0" collapsed="false">
      <c r="A14" s="18" t="s">
        <v>73</v>
      </c>
      <c r="B14" s="18" t="n">
        <v>1</v>
      </c>
      <c r="C14" s="18" t="s">
        <v>311</v>
      </c>
      <c r="D14" s="18"/>
      <c r="E14" s="18"/>
      <c r="F14" s="18"/>
      <c r="G14" s="18" t="str">
        <f aca="false">IF(COUNT(D14:F14)=3,SUM(D14:F14),"")</f>
        <v/>
      </c>
      <c r="H14" s="9"/>
    </row>
    <row r="15" customFormat="false" ht="15" hidden="false" customHeight="false" outlineLevel="0" collapsed="false">
      <c r="A15" s="18" t="s">
        <v>73</v>
      </c>
      <c r="B15" s="18" t="n">
        <v>1</v>
      </c>
      <c r="C15" s="18" t="s">
        <v>312</v>
      </c>
      <c r="D15" s="18"/>
      <c r="E15" s="18"/>
      <c r="F15" s="18"/>
      <c r="G15" s="18" t="str">
        <f aca="false">IF(COUNT(D15:F15)=3,SUM(D15:F15),"")</f>
        <v/>
      </c>
      <c r="H15" s="9"/>
    </row>
    <row r="16" customFormat="false" ht="15" hidden="false" customHeight="false" outlineLevel="0" collapsed="false">
      <c r="A16" s="18" t="s">
        <v>73</v>
      </c>
      <c r="B16" s="18" t="n">
        <v>1</v>
      </c>
      <c r="C16" s="18" t="s">
        <v>313</v>
      </c>
      <c r="D16" s="18"/>
      <c r="E16" s="18"/>
      <c r="F16" s="18"/>
      <c r="G16" s="18" t="str">
        <f aca="false">IF(COUNT(D16:F16)=3,SUM(D16:F16),"")</f>
        <v/>
      </c>
      <c r="H16" s="9"/>
    </row>
    <row r="17" customFormat="false" ht="15" hidden="false" customHeight="false" outlineLevel="0" collapsed="false">
      <c r="A17" s="18" t="s">
        <v>73</v>
      </c>
      <c r="B17" s="18" t="n">
        <v>1</v>
      </c>
      <c r="C17" s="18" t="s">
        <v>314</v>
      </c>
      <c r="D17" s="18"/>
      <c r="E17" s="18"/>
      <c r="F17" s="18"/>
      <c r="G17" s="18" t="str">
        <f aca="false">IF(COUNT(D17:F17)=3,SUM(D17:F17),"")</f>
        <v/>
      </c>
      <c r="H17" s="9"/>
    </row>
    <row r="18" customFormat="false" ht="15" hidden="false" customHeight="false" outlineLevel="0" collapsed="false">
      <c r="A18" s="18" t="s">
        <v>77</v>
      </c>
      <c r="B18" s="18" t="n">
        <v>1</v>
      </c>
      <c r="C18" s="18" t="s">
        <v>311</v>
      </c>
      <c r="D18" s="18"/>
      <c r="E18" s="18"/>
      <c r="F18" s="18"/>
      <c r="G18" s="18" t="str">
        <f aca="false">IF(COUNT(D18:F18)=3,SUM(D18:F18),"")</f>
        <v/>
      </c>
      <c r="H18" s="9"/>
    </row>
    <row r="19" customFormat="false" ht="15" hidden="false" customHeight="false" outlineLevel="0" collapsed="false">
      <c r="A19" s="18" t="s">
        <v>77</v>
      </c>
      <c r="B19" s="18" t="n">
        <v>1</v>
      </c>
      <c r="C19" s="18" t="s">
        <v>312</v>
      </c>
      <c r="D19" s="18"/>
      <c r="E19" s="18"/>
      <c r="F19" s="18"/>
      <c r="G19" s="18" t="str">
        <f aca="false">IF(COUNT(D19:F19)=3,SUM(D19:F19),"")</f>
        <v/>
      </c>
      <c r="H19" s="9"/>
    </row>
    <row r="20" customFormat="false" ht="15" hidden="false" customHeight="false" outlineLevel="0" collapsed="false">
      <c r="A20" s="18" t="s">
        <v>77</v>
      </c>
      <c r="B20" s="18" t="n">
        <v>1</v>
      </c>
      <c r="C20" s="18" t="s">
        <v>313</v>
      </c>
      <c r="D20" s="18"/>
      <c r="E20" s="18"/>
      <c r="F20" s="18"/>
      <c r="G20" s="18" t="str">
        <f aca="false">IF(COUNT(D20:F20)=3,SUM(D20:F20),"")</f>
        <v/>
      </c>
      <c r="H20" s="9"/>
    </row>
    <row r="21" customFormat="false" ht="15" hidden="false" customHeight="false" outlineLevel="0" collapsed="false">
      <c r="A21" s="18" t="s">
        <v>77</v>
      </c>
      <c r="B21" s="18" t="n">
        <v>1</v>
      </c>
      <c r="C21" s="18" t="s">
        <v>314</v>
      </c>
      <c r="D21" s="18"/>
      <c r="E21" s="18"/>
      <c r="F21" s="18"/>
      <c r="G21" s="18" t="str">
        <f aca="false">IF(COUNT(D21:F21)=3,SUM(D21:F21),"")</f>
        <v/>
      </c>
      <c r="H21" s="9"/>
    </row>
    <row r="22" customFormat="false" ht="15" hidden="false" customHeight="false" outlineLevel="0" collapsed="false">
      <c r="A22" s="18" t="s">
        <v>81</v>
      </c>
      <c r="B22" s="18" t="n">
        <v>1</v>
      </c>
      <c r="C22" s="18" t="s">
        <v>311</v>
      </c>
      <c r="D22" s="18"/>
      <c r="E22" s="18"/>
      <c r="F22" s="18"/>
      <c r="G22" s="18" t="str">
        <f aca="false">IF(COUNT(D22:F22)=3,SUM(D22:F22),"")</f>
        <v/>
      </c>
      <c r="H22" s="9"/>
    </row>
    <row r="23" customFormat="false" ht="15" hidden="false" customHeight="false" outlineLevel="0" collapsed="false">
      <c r="A23" s="18" t="s">
        <v>81</v>
      </c>
      <c r="B23" s="18" t="n">
        <v>1</v>
      </c>
      <c r="C23" s="18" t="s">
        <v>312</v>
      </c>
      <c r="D23" s="18"/>
      <c r="E23" s="18"/>
      <c r="F23" s="18"/>
      <c r="G23" s="18" t="str">
        <f aca="false">IF(COUNT(D23:F23)=3,SUM(D23:F23),"")</f>
        <v/>
      </c>
      <c r="H23" s="9"/>
    </row>
    <row r="24" customFormat="false" ht="15" hidden="false" customHeight="false" outlineLevel="0" collapsed="false">
      <c r="A24" s="18" t="s">
        <v>81</v>
      </c>
      <c r="B24" s="18" t="n">
        <v>1</v>
      </c>
      <c r="C24" s="18" t="s">
        <v>313</v>
      </c>
      <c r="D24" s="18"/>
      <c r="E24" s="18"/>
      <c r="F24" s="18"/>
      <c r="G24" s="18" t="str">
        <f aca="false">IF(COUNT(D24:F24)=3,SUM(D24:F24),"")</f>
        <v/>
      </c>
      <c r="H24" s="9"/>
    </row>
    <row r="25" customFormat="false" ht="15" hidden="false" customHeight="false" outlineLevel="0" collapsed="false">
      <c r="A25" s="18" t="s">
        <v>81</v>
      </c>
      <c r="B25" s="18" t="n">
        <v>1</v>
      </c>
      <c r="C25" s="18" t="s">
        <v>314</v>
      </c>
      <c r="D25" s="18"/>
      <c r="E25" s="18"/>
      <c r="F25" s="18"/>
      <c r="G25" s="18" t="str">
        <f aca="false">IF(COUNT(D25:F25)=3,SUM(D25:F25),"")</f>
        <v/>
      </c>
      <c r="H25" s="9"/>
    </row>
    <row r="26" customFormat="false" ht="15" hidden="false" customHeight="false" outlineLevel="0" collapsed="false">
      <c r="A26" s="18" t="s">
        <v>85</v>
      </c>
      <c r="B26" s="18" t="n">
        <v>1</v>
      </c>
      <c r="C26" s="18" t="s">
        <v>311</v>
      </c>
      <c r="D26" s="18"/>
      <c r="E26" s="18"/>
      <c r="F26" s="18"/>
      <c r="G26" s="18" t="str">
        <f aca="false">IF(COUNT(D26:F26)=3,SUM(D26:F26),"")</f>
        <v/>
      </c>
      <c r="H26" s="9"/>
    </row>
    <row r="27" customFormat="false" ht="15" hidden="false" customHeight="false" outlineLevel="0" collapsed="false">
      <c r="A27" s="18" t="s">
        <v>85</v>
      </c>
      <c r="B27" s="18" t="n">
        <v>1</v>
      </c>
      <c r="C27" s="18" t="s">
        <v>312</v>
      </c>
      <c r="D27" s="18"/>
      <c r="E27" s="18"/>
      <c r="F27" s="18"/>
      <c r="G27" s="18" t="str">
        <f aca="false">IF(COUNT(D27:F27)=3,SUM(D27:F27),"")</f>
        <v/>
      </c>
      <c r="H27" s="9"/>
    </row>
    <row r="28" customFormat="false" ht="15" hidden="false" customHeight="false" outlineLevel="0" collapsed="false">
      <c r="A28" s="18" t="s">
        <v>85</v>
      </c>
      <c r="B28" s="18" t="n">
        <v>1</v>
      </c>
      <c r="C28" s="18" t="s">
        <v>313</v>
      </c>
      <c r="D28" s="18"/>
      <c r="E28" s="18"/>
      <c r="F28" s="18"/>
      <c r="G28" s="18" t="str">
        <f aca="false">IF(COUNT(D28:F28)=3,SUM(D28:F28),"")</f>
        <v/>
      </c>
      <c r="H28" s="9"/>
    </row>
    <row r="29" customFormat="false" ht="15" hidden="false" customHeight="false" outlineLevel="0" collapsed="false">
      <c r="A29" s="18" t="s">
        <v>85</v>
      </c>
      <c r="B29" s="18" t="n">
        <v>1</v>
      </c>
      <c r="C29" s="18" t="s">
        <v>314</v>
      </c>
      <c r="D29" s="18"/>
      <c r="E29" s="18"/>
      <c r="F29" s="18"/>
      <c r="G29" s="18" t="str">
        <f aca="false">IF(COUNT(D29:F29)=3,SUM(D29:F29),"")</f>
        <v/>
      </c>
      <c r="H29" s="9"/>
    </row>
    <row r="30" customFormat="false" ht="15" hidden="false" customHeight="false" outlineLevel="0" collapsed="false">
      <c r="A30" s="18" t="s">
        <v>89</v>
      </c>
      <c r="B30" s="18" t="n">
        <v>1</v>
      </c>
      <c r="C30" s="18" t="s">
        <v>311</v>
      </c>
      <c r="D30" s="18"/>
      <c r="E30" s="18"/>
      <c r="F30" s="18"/>
      <c r="G30" s="18" t="str">
        <f aca="false">IF(COUNT(D30:F30)=3,SUM(D30:F30),"")</f>
        <v/>
      </c>
      <c r="H30" s="9"/>
    </row>
    <row r="31" customFormat="false" ht="15" hidden="false" customHeight="false" outlineLevel="0" collapsed="false">
      <c r="A31" s="18" t="s">
        <v>89</v>
      </c>
      <c r="B31" s="18" t="n">
        <v>1</v>
      </c>
      <c r="C31" s="18" t="s">
        <v>312</v>
      </c>
      <c r="D31" s="18"/>
      <c r="E31" s="18"/>
      <c r="F31" s="18"/>
      <c r="G31" s="18" t="str">
        <f aca="false">IF(COUNT(D31:F31)=3,SUM(D31:F31),"")</f>
        <v/>
      </c>
      <c r="H31" s="9"/>
    </row>
    <row r="32" customFormat="false" ht="15" hidden="false" customHeight="false" outlineLevel="0" collapsed="false">
      <c r="A32" s="18" t="s">
        <v>89</v>
      </c>
      <c r="B32" s="18" t="n">
        <v>1</v>
      </c>
      <c r="C32" s="18" t="s">
        <v>313</v>
      </c>
      <c r="D32" s="18"/>
      <c r="E32" s="18"/>
      <c r="F32" s="18"/>
      <c r="G32" s="18" t="str">
        <f aca="false">IF(COUNT(D32:F32)=3,SUM(D32:F32),"")</f>
        <v/>
      </c>
      <c r="H32" s="9"/>
    </row>
    <row r="33" customFormat="false" ht="15" hidden="false" customHeight="false" outlineLevel="0" collapsed="false">
      <c r="A33" s="18" t="s">
        <v>89</v>
      </c>
      <c r="B33" s="18" t="n">
        <v>1</v>
      </c>
      <c r="C33" s="18" t="s">
        <v>314</v>
      </c>
      <c r="D33" s="18"/>
      <c r="E33" s="18"/>
      <c r="F33" s="18"/>
      <c r="G33" s="18" t="str">
        <f aca="false">IF(COUNT(D33:F33)=3,SUM(D33:F33),"")</f>
        <v/>
      </c>
      <c r="H33" s="9"/>
    </row>
    <row r="34" customFormat="false" ht="15" hidden="false" customHeight="false" outlineLevel="0" collapsed="false">
      <c r="A34" s="18" t="s">
        <v>93</v>
      </c>
      <c r="B34" s="18" t="n">
        <v>1</v>
      </c>
      <c r="C34" s="18" t="s">
        <v>311</v>
      </c>
      <c r="D34" s="18"/>
      <c r="E34" s="18"/>
      <c r="F34" s="18"/>
      <c r="G34" s="18" t="str">
        <f aca="false">IF(COUNT(D34:F34)=3,SUM(D34:F34),"")</f>
        <v/>
      </c>
      <c r="H34" s="9"/>
    </row>
    <row r="35" customFormat="false" ht="15" hidden="false" customHeight="false" outlineLevel="0" collapsed="false">
      <c r="A35" s="18" t="s">
        <v>93</v>
      </c>
      <c r="B35" s="18" t="n">
        <v>1</v>
      </c>
      <c r="C35" s="18" t="s">
        <v>312</v>
      </c>
      <c r="D35" s="18"/>
      <c r="E35" s="18"/>
      <c r="F35" s="18"/>
      <c r="G35" s="18" t="str">
        <f aca="false">IF(COUNT(D35:F35)=3,SUM(D35:F35),"")</f>
        <v/>
      </c>
      <c r="H35" s="9"/>
    </row>
    <row r="36" customFormat="false" ht="15" hidden="false" customHeight="false" outlineLevel="0" collapsed="false">
      <c r="A36" s="18" t="s">
        <v>93</v>
      </c>
      <c r="B36" s="18" t="n">
        <v>1</v>
      </c>
      <c r="C36" s="18" t="s">
        <v>313</v>
      </c>
      <c r="D36" s="18"/>
      <c r="E36" s="18"/>
      <c r="F36" s="18"/>
      <c r="G36" s="18" t="str">
        <f aca="false">IF(COUNT(D36:F36)=3,SUM(D36:F36),"")</f>
        <v/>
      </c>
      <c r="H36" s="9"/>
    </row>
    <row r="37" customFormat="false" ht="15" hidden="false" customHeight="false" outlineLevel="0" collapsed="false">
      <c r="A37" s="18" t="s">
        <v>93</v>
      </c>
      <c r="B37" s="18" t="n">
        <v>1</v>
      </c>
      <c r="C37" s="18" t="s">
        <v>314</v>
      </c>
      <c r="D37" s="18"/>
      <c r="E37" s="18"/>
      <c r="F37" s="18"/>
      <c r="G37" s="18" t="str">
        <f aca="false">IF(COUNT(D37:F37)=3,SUM(D37:F37),"")</f>
        <v/>
      </c>
      <c r="H37" s="9"/>
    </row>
    <row r="38" customFormat="false" ht="15" hidden="false" customHeight="false" outlineLevel="0" collapsed="false">
      <c r="A38" s="18" t="s">
        <v>98</v>
      </c>
      <c r="B38" s="18" t="n">
        <v>1</v>
      </c>
      <c r="C38" s="18" t="s">
        <v>311</v>
      </c>
      <c r="D38" s="18"/>
      <c r="E38" s="18"/>
      <c r="F38" s="18"/>
      <c r="G38" s="18" t="str">
        <f aca="false">IF(COUNT(D38:F38)=3,SUM(D38:F38),"")</f>
        <v/>
      </c>
      <c r="H38" s="9"/>
    </row>
    <row r="39" customFormat="false" ht="15" hidden="false" customHeight="false" outlineLevel="0" collapsed="false">
      <c r="A39" s="18" t="s">
        <v>98</v>
      </c>
      <c r="B39" s="18" t="n">
        <v>1</v>
      </c>
      <c r="C39" s="18" t="s">
        <v>312</v>
      </c>
      <c r="D39" s="18"/>
      <c r="E39" s="18"/>
      <c r="F39" s="18"/>
      <c r="G39" s="18" t="str">
        <f aca="false">IF(COUNT(D39:F39)=3,SUM(D39:F39),"")</f>
        <v/>
      </c>
      <c r="H39" s="9"/>
    </row>
    <row r="40" customFormat="false" ht="15" hidden="false" customHeight="false" outlineLevel="0" collapsed="false">
      <c r="A40" s="18" t="s">
        <v>98</v>
      </c>
      <c r="B40" s="18" t="n">
        <v>1</v>
      </c>
      <c r="C40" s="18" t="s">
        <v>313</v>
      </c>
      <c r="D40" s="18"/>
      <c r="E40" s="18"/>
      <c r="F40" s="18"/>
      <c r="G40" s="18" t="str">
        <f aca="false">IF(COUNT(D40:F40)=3,SUM(D40:F40),"")</f>
        <v/>
      </c>
      <c r="H40" s="9"/>
    </row>
    <row r="41" customFormat="false" ht="15" hidden="false" customHeight="false" outlineLevel="0" collapsed="false">
      <c r="A41" s="18" t="s">
        <v>98</v>
      </c>
      <c r="B41" s="18" t="n">
        <v>1</v>
      </c>
      <c r="C41" s="18" t="s">
        <v>314</v>
      </c>
      <c r="D41" s="18"/>
      <c r="E41" s="18"/>
      <c r="F41" s="18"/>
      <c r="G41" s="18" t="str">
        <f aca="false">IF(COUNT(D41:F41)=3,SUM(D41:F41),"")</f>
        <v/>
      </c>
      <c r="H41" s="9"/>
    </row>
    <row r="42" customFormat="false" ht="15" hidden="false" customHeight="false" outlineLevel="0" collapsed="false">
      <c r="A42" s="18" t="s">
        <v>102</v>
      </c>
      <c r="B42" s="18" t="n">
        <v>2</v>
      </c>
      <c r="C42" s="18" t="s">
        <v>311</v>
      </c>
      <c r="D42" s="18"/>
      <c r="E42" s="18"/>
      <c r="F42" s="18"/>
      <c r="G42" s="18" t="str">
        <f aca="false">IF(COUNT(D42:F42)=3,SUM(D42:F42),"")</f>
        <v/>
      </c>
      <c r="H42" s="9"/>
    </row>
    <row r="43" customFormat="false" ht="15" hidden="false" customHeight="false" outlineLevel="0" collapsed="false">
      <c r="A43" s="18" t="s">
        <v>102</v>
      </c>
      <c r="B43" s="18" t="n">
        <v>2</v>
      </c>
      <c r="C43" s="18" t="s">
        <v>312</v>
      </c>
      <c r="D43" s="18"/>
      <c r="E43" s="18"/>
      <c r="F43" s="18"/>
      <c r="G43" s="18" t="str">
        <f aca="false">IF(COUNT(D43:F43)=3,SUM(D43:F43),"")</f>
        <v/>
      </c>
      <c r="H43" s="9"/>
    </row>
    <row r="44" customFormat="false" ht="15" hidden="false" customHeight="false" outlineLevel="0" collapsed="false">
      <c r="A44" s="18" t="s">
        <v>102</v>
      </c>
      <c r="B44" s="18" t="n">
        <v>2</v>
      </c>
      <c r="C44" s="18" t="s">
        <v>313</v>
      </c>
      <c r="D44" s="18"/>
      <c r="E44" s="18"/>
      <c r="F44" s="18"/>
      <c r="G44" s="18" t="str">
        <f aca="false">IF(COUNT(D44:F44)=3,SUM(D44:F44),"")</f>
        <v/>
      </c>
      <c r="H44" s="9"/>
    </row>
    <row r="45" customFormat="false" ht="15" hidden="false" customHeight="false" outlineLevel="0" collapsed="false">
      <c r="A45" s="18" t="s">
        <v>102</v>
      </c>
      <c r="B45" s="18" t="n">
        <v>2</v>
      </c>
      <c r="C45" s="18" t="s">
        <v>314</v>
      </c>
      <c r="D45" s="18"/>
      <c r="E45" s="18"/>
      <c r="F45" s="18"/>
      <c r="G45" s="18" t="str">
        <f aca="false">IF(COUNT(D45:F45)=3,SUM(D45:F45),"")</f>
        <v/>
      </c>
      <c r="H45" s="9"/>
    </row>
    <row r="46" customFormat="false" ht="15" hidden="false" customHeight="false" outlineLevel="0" collapsed="false">
      <c r="A46" s="18" t="s">
        <v>107</v>
      </c>
      <c r="B46" s="18" t="n">
        <v>2</v>
      </c>
      <c r="C46" s="18" t="s">
        <v>311</v>
      </c>
      <c r="D46" s="18"/>
      <c r="E46" s="18"/>
      <c r="F46" s="18"/>
      <c r="G46" s="18" t="str">
        <f aca="false">IF(COUNT(D46:F46)=3,SUM(D46:F46),"")</f>
        <v/>
      </c>
      <c r="H46" s="9"/>
    </row>
    <row r="47" customFormat="false" ht="15" hidden="false" customHeight="false" outlineLevel="0" collapsed="false">
      <c r="A47" s="18" t="s">
        <v>107</v>
      </c>
      <c r="B47" s="18" t="n">
        <v>2</v>
      </c>
      <c r="C47" s="18" t="s">
        <v>312</v>
      </c>
      <c r="D47" s="18"/>
      <c r="E47" s="18"/>
      <c r="F47" s="18"/>
      <c r="G47" s="18" t="str">
        <f aca="false">IF(COUNT(D47:F47)=3,SUM(D47:F47),"")</f>
        <v/>
      </c>
      <c r="H47" s="9"/>
    </row>
    <row r="48" customFormat="false" ht="15" hidden="false" customHeight="false" outlineLevel="0" collapsed="false">
      <c r="A48" s="18" t="s">
        <v>107</v>
      </c>
      <c r="B48" s="18" t="n">
        <v>2</v>
      </c>
      <c r="C48" s="18" t="s">
        <v>313</v>
      </c>
      <c r="D48" s="18"/>
      <c r="E48" s="18"/>
      <c r="F48" s="18"/>
      <c r="G48" s="18" t="str">
        <f aca="false">IF(COUNT(D48:F48)=3,SUM(D48:F48),"")</f>
        <v/>
      </c>
      <c r="H48" s="9"/>
    </row>
    <row r="49" customFormat="false" ht="15" hidden="false" customHeight="false" outlineLevel="0" collapsed="false">
      <c r="A49" s="18" t="s">
        <v>107</v>
      </c>
      <c r="B49" s="18" t="n">
        <v>2</v>
      </c>
      <c r="C49" s="18" t="s">
        <v>314</v>
      </c>
      <c r="D49" s="18"/>
      <c r="E49" s="18"/>
      <c r="F49" s="18"/>
      <c r="G49" s="18" t="str">
        <f aca="false">IF(COUNT(D49:F49)=3,SUM(D49:F49),"")</f>
        <v/>
      </c>
      <c r="H49" s="9"/>
    </row>
    <row r="50" customFormat="false" ht="15" hidden="false" customHeight="false" outlineLevel="0" collapsed="false">
      <c r="A50" s="18" t="s">
        <v>111</v>
      </c>
      <c r="B50" s="18" t="n">
        <v>2</v>
      </c>
      <c r="C50" s="18" t="s">
        <v>311</v>
      </c>
      <c r="D50" s="18"/>
      <c r="E50" s="18"/>
      <c r="F50" s="18"/>
      <c r="G50" s="18" t="str">
        <f aca="false">IF(COUNT(D50:F50)=3,SUM(D50:F50),"")</f>
        <v/>
      </c>
      <c r="H50" s="9"/>
    </row>
    <row r="51" customFormat="false" ht="15" hidden="false" customHeight="false" outlineLevel="0" collapsed="false">
      <c r="A51" s="18" t="s">
        <v>111</v>
      </c>
      <c r="B51" s="18" t="n">
        <v>2</v>
      </c>
      <c r="C51" s="18" t="s">
        <v>312</v>
      </c>
      <c r="D51" s="18"/>
      <c r="E51" s="18"/>
      <c r="F51" s="18"/>
      <c r="G51" s="18" t="str">
        <f aca="false">IF(COUNT(D51:F51)=3,SUM(D51:F51),"")</f>
        <v/>
      </c>
      <c r="H51" s="9"/>
    </row>
    <row r="52" customFormat="false" ht="15" hidden="false" customHeight="false" outlineLevel="0" collapsed="false">
      <c r="A52" s="18" t="s">
        <v>111</v>
      </c>
      <c r="B52" s="18" t="n">
        <v>2</v>
      </c>
      <c r="C52" s="18" t="s">
        <v>313</v>
      </c>
      <c r="D52" s="18"/>
      <c r="E52" s="18"/>
      <c r="F52" s="18"/>
      <c r="G52" s="18" t="str">
        <f aca="false">IF(COUNT(D52:F52)=3,SUM(D52:F52),"")</f>
        <v/>
      </c>
      <c r="H52" s="9"/>
    </row>
    <row r="53" customFormat="false" ht="15" hidden="false" customHeight="false" outlineLevel="0" collapsed="false">
      <c r="A53" s="18" t="s">
        <v>111</v>
      </c>
      <c r="B53" s="18" t="n">
        <v>2</v>
      </c>
      <c r="C53" s="18" t="s">
        <v>314</v>
      </c>
      <c r="D53" s="18"/>
      <c r="E53" s="18"/>
      <c r="F53" s="18"/>
      <c r="G53" s="18" t="str">
        <f aca="false">IF(COUNT(D53:F53)=3,SUM(D53:F53),"")</f>
        <v/>
      </c>
      <c r="H53" s="9"/>
    </row>
    <row r="54" customFormat="false" ht="15" hidden="false" customHeight="false" outlineLevel="0" collapsed="false">
      <c r="A54" s="18" t="s">
        <v>115</v>
      </c>
      <c r="B54" s="18" t="n">
        <v>2</v>
      </c>
      <c r="C54" s="18" t="s">
        <v>311</v>
      </c>
      <c r="D54" s="18"/>
      <c r="E54" s="18"/>
      <c r="F54" s="18"/>
      <c r="G54" s="18" t="str">
        <f aca="false">IF(COUNT(D54:F54)=3,SUM(D54:F54),"")</f>
        <v/>
      </c>
      <c r="H54" s="9"/>
    </row>
    <row r="55" customFormat="false" ht="15" hidden="false" customHeight="false" outlineLevel="0" collapsed="false">
      <c r="A55" s="18" t="s">
        <v>115</v>
      </c>
      <c r="B55" s="18" t="n">
        <v>2</v>
      </c>
      <c r="C55" s="18" t="s">
        <v>312</v>
      </c>
      <c r="D55" s="18"/>
      <c r="E55" s="18"/>
      <c r="F55" s="18"/>
      <c r="G55" s="18" t="str">
        <f aca="false">IF(COUNT(D55:F55)=3,SUM(D55:F55),"")</f>
        <v/>
      </c>
      <c r="H55" s="9"/>
    </row>
    <row r="56" customFormat="false" ht="15" hidden="false" customHeight="false" outlineLevel="0" collapsed="false">
      <c r="A56" s="18" t="s">
        <v>115</v>
      </c>
      <c r="B56" s="18" t="n">
        <v>2</v>
      </c>
      <c r="C56" s="18" t="s">
        <v>313</v>
      </c>
      <c r="D56" s="18"/>
      <c r="E56" s="18"/>
      <c r="F56" s="18"/>
      <c r="G56" s="18" t="str">
        <f aca="false">IF(COUNT(D56:F56)=3,SUM(D56:F56),"")</f>
        <v/>
      </c>
      <c r="H56" s="9"/>
    </row>
    <row r="57" customFormat="false" ht="15" hidden="false" customHeight="false" outlineLevel="0" collapsed="false">
      <c r="A57" s="18" t="s">
        <v>115</v>
      </c>
      <c r="B57" s="18" t="n">
        <v>2</v>
      </c>
      <c r="C57" s="18" t="s">
        <v>314</v>
      </c>
      <c r="D57" s="18"/>
      <c r="E57" s="18"/>
      <c r="F57" s="18"/>
      <c r="G57" s="18" t="str">
        <f aca="false">IF(COUNT(D57:F57)=3,SUM(D57:F57),"")</f>
        <v/>
      </c>
      <c r="H57" s="9"/>
    </row>
    <row r="58" customFormat="false" ht="15" hidden="false" customHeight="false" outlineLevel="0" collapsed="false">
      <c r="A58" s="18" t="s">
        <v>119</v>
      </c>
      <c r="B58" s="18" t="n">
        <v>2</v>
      </c>
      <c r="C58" s="18" t="s">
        <v>311</v>
      </c>
      <c r="D58" s="18"/>
      <c r="E58" s="18"/>
      <c r="F58" s="18"/>
      <c r="G58" s="18" t="str">
        <f aca="false">IF(COUNT(D58:F58)=3,SUM(D58:F58),"")</f>
        <v/>
      </c>
      <c r="H58" s="9"/>
    </row>
    <row r="59" customFormat="false" ht="15" hidden="false" customHeight="false" outlineLevel="0" collapsed="false">
      <c r="A59" s="18" t="s">
        <v>119</v>
      </c>
      <c r="B59" s="18" t="n">
        <v>2</v>
      </c>
      <c r="C59" s="18" t="s">
        <v>312</v>
      </c>
      <c r="D59" s="18"/>
      <c r="E59" s="18"/>
      <c r="F59" s="18"/>
      <c r="G59" s="18" t="str">
        <f aca="false">IF(COUNT(D59:F59)=3,SUM(D59:F59),"")</f>
        <v/>
      </c>
      <c r="H59" s="9"/>
    </row>
    <row r="60" customFormat="false" ht="15" hidden="false" customHeight="false" outlineLevel="0" collapsed="false">
      <c r="A60" s="18" t="s">
        <v>119</v>
      </c>
      <c r="B60" s="18" t="n">
        <v>2</v>
      </c>
      <c r="C60" s="18" t="s">
        <v>313</v>
      </c>
      <c r="D60" s="18"/>
      <c r="E60" s="18"/>
      <c r="F60" s="18"/>
      <c r="G60" s="18" t="str">
        <f aca="false">IF(COUNT(D60:F60)=3,SUM(D60:F60),"")</f>
        <v/>
      </c>
      <c r="H60" s="9"/>
    </row>
    <row r="61" customFormat="false" ht="15" hidden="false" customHeight="false" outlineLevel="0" collapsed="false">
      <c r="A61" s="18" t="s">
        <v>119</v>
      </c>
      <c r="B61" s="18" t="n">
        <v>2</v>
      </c>
      <c r="C61" s="18" t="s">
        <v>314</v>
      </c>
      <c r="D61" s="18"/>
      <c r="E61" s="18"/>
      <c r="F61" s="18"/>
      <c r="G61" s="18" t="str">
        <f aca="false">IF(COUNT(D61:F61)=3,SUM(D61:F61),"")</f>
        <v/>
      </c>
      <c r="H61" s="9"/>
    </row>
    <row r="62" customFormat="false" ht="15" hidden="false" customHeight="false" outlineLevel="0" collapsed="false">
      <c r="A62" s="18" t="s">
        <v>123</v>
      </c>
      <c r="B62" s="18" t="n">
        <v>2</v>
      </c>
      <c r="C62" s="18" t="s">
        <v>311</v>
      </c>
      <c r="D62" s="18"/>
      <c r="E62" s="18"/>
      <c r="F62" s="18"/>
      <c r="G62" s="18" t="str">
        <f aca="false">IF(COUNT(D62:F62)=3,SUM(D62:F62),"")</f>
        <v/>
      </c>
      <c r="H62" s="9"/>
    </row>
    <row r="63" customFormat="false" ht="15" hidden="false" customHeight="false" outlineLevel="0" collapsed="false">
      <c r="A63" s="18" t="s">
        <v>123</v>
      </c>
      <c r="B63" s="18" t="n">
        <v>2</v>
      </c>
      <c r="C63" s="18" t="s">
        <v>312</v>
      </c>
      <c r="D63" s="18"/>
      <c r="E63" s="18"/>
      <c r="F63" s="18"/>
      <c r="G63" s="18" t="str">
        <f aca="false">IF(COUNT(D63:F63)=3,SUM(D63:F63),"")</f>
        <v/>
      </c>
      <c r="H63" s="9"/>
    </row>
    <row r="64" customFormat="false" ht="15" hidden="false" customHeight="false" outlineLevel="0" collapsed="false">
      <c r="A64" s="18" t="s">
        <v>123</v>
      </c>
      <c r="B64" s="18" t="n">
        <v>2</v>
      </c>
      <c r="C64" s="18" t="s">
        <v>313</v>
      </c>
      <c r="D64" s="18"/>
      <c r="E64" s="18"/>
      <c r="F64" s="18"/>
      <c r="G64" s="18" t="str">
        <f aca="false">IF(COUNT(D64:F64)=3,SUM(D64:F64),"")</f>
        <v/>
      </c>
      <c r="H64" s="9"/>
    </row>
    <row r="65" customFormat="false" ht="15" hidden="false" customHeight="false" outlineLevel="0" collapsed="false">
      <c r="A65" s="18" t="s">
        <v>123</v>
      </c>
      <c r="B65" s="18" t="n">
        <v>2</v>
      </c>
      <c r="C65" s="18" t="s">
        <v>314</v>
      </c>
      <c r="D65" s="18"/>
      <c r="E65" s="18"/>
      <c r="F65" s="18"/>
      <c r="G65" s="18" t="str">
        <f aca="false">IF(COUNT(D65:F65)=3,SUM(D65:F65),"")</f>
        <v/>
      </c>
      <c r="H65" s="9"/>
    </row>
    <row r="66" customFormat="false" ht="15" hidden="false" customHeight="false" outlineLevel="0" collapsed="false">
      <c r="A66" s="18" t="s">
        <v>127</v>
      </c>
      <c r="B66" s="18" t="n">
        <v>2</v>
      </c>
      <c r="C66" s="18" t="s">
        <v>311</v>
      </c>
      <c r="D66" s="18"/>
      <c r="E66" s="18"/>
      <c r="F66" s="18"/>
      <c r="G66" s="18" t="str">
        <f aca="false">IF(COUNT(D66:F66)=3,SUM(D66:F66),"")</f>
        <v/>
      </c>
      <c r="H66" s="9"/>
    </row>
    <row r="67" customFormat="false" ht="15" hidden="false" customHeight="false" outlineLevel="0" collapsed="false">
      <c r="A67" s="18" t="s">
        <v>127</v>
      </c>
      <c r="B67" s="18" t="n">
        <v>2</v>
      </c>
      <c r="C67" s="18" t="s">
        <v>312</v>
      </c>
      <c r="D67" s="18"/>
      <c r="E67" s="18"/>
      <c r="F67" s="18"/>
      <c r="G67" s="18" t="str">
        <f aca="false">IF(COUNT(D67:F67)=3,SUM(D67:F67),"")</f>
        <v/>
      </c>
      <c r="H67" s="9"/>
    </row>
    <row r="68" customFormat="false" ht="15" hidden="false" customHeight="false" outlineLevel="0" collapsed="false">
      <c r="A68" s="18" t="s">
        <v>127</v>
      </c>
      <c r="B68" s="18" t="n">
        <v>2</v>
      </c>
      <c r="C68" s="18" t="s">
        <v>313</v>
      </c>
      <c r="D68" s="18"/>
      <c r="E68" s="18"/>
      <c r="F68" s="18"/>
      <c r="G68" s="18" t="str">
        <f aca="false">IF(COUNT(D68:F68)=3,SUM(D68:F68),"")</f>
        <v/>
      </c>
      <c r="H68" s="9"/>
    </row>
    <row r="69" customFormat="false" ht="15" hidden="false" customHeight="false" outlineLevel="0" collapsed="false">
      <c r="A69" s="18" t="s">
        <v>127</v>
      </c>
      <c r="B69" s="18" t="n">
        <v>2</v>
      </c>
      <c r="C69" s="18" t="s">
        <v>314</v>
      </c>
      <c r="D69" s="18"/>
      <c r="E69" s="18"/>
      <c r="F69" s="18"/>
      <c r="G69" s="18" t="str">
        <f aca="false">IF(COUNT(D69:F69)=3,SUM(D69:F69),"")</f>
        <v/>
      </c>
      <c r="H69" s="9"/>
    </row>
    <row r="70" customFormat="false" ht="15" hidden="false" customHeight="false" outlineLevel="0" collapsed="false">
      <c r="A70" s="18" t="s">
        <v>131</v>
      </c>
      <c r="B70" s="18" t="n">
        <v>2</v>
      </c>
      <c r="C70" s="18" t="s">
        <v>311</v>
      </c>
      <c r="D70" s="18"/>
      <c r="E70" s="18"/>
      <c r="F70" s="18"/>
      <c r="G70" s="18" t="str">
        <f aca="false">IF(COUNT(D70:F70)=3,SUM(D70:F70),"")</f>
        <v/>
      </c>
      <c r="H70" s="9"/>
    </row>
    <row r="71" customFormat="false" ht="15" hidden="false" customHeight="false" outlineLevel="0" collapsed="false">
      <c r="A71" s="18" t="s">
        <v>131</v>
      </c>
      <c r="B71" s="18" t="n">
        <v>2</v>
      </c>
      <c r="C71" s="18" t="s">
        <v>312</v>
      </c>
      <c r="D71" s="18"/>
      <c r="E71" s="18"/>
      <c r="F71" s="18"/>
      <c r="G71" s="18" t="str">
        <f aca="false">IF(COUNT(D71:F71)=3,SUM(D71:F71),"")</f>
        <v/>
      </c>
      <c r="H71" s="9"/>
    </row>
    <row r="72" customFormat="false" ht="15" hidden="false" customHeight="false" outlineLevel="0" collapsed="false">
      <c r="A72" s="18" t="s">
        <v>131</v>
      </c>
      <c r="B72" s="18" t="n">
        <v>2</v>
      </c>
      <c r="C72" s="18" t="s">
        <v>313</v>
      </c>
      <c r="D72" s="18"/>
      <c r="E72" s="18"/>
      <c r="F72" s="18"/>
      <c r="G72" s="18" t="str">
        <f aca="false">IF(COUNT(D72:F72)=3,SUM(D72:F72),"")</f>
        <v/>
      </c>
      <c r="H72" s="9"/>
    </row>
    <row r="73" customFormat="false" ht="15" hidden="false" customHeight="false" outlineLevel="0" collapsed="false">
      <c r="A73" s="18" t="s">
        <v>131</v>
      </c>
      <c r="B73" s="18" t="n">
        <v>2</v>
      </c>
      <c r="C73" s="18" t="s">
        <v>314</v>
      </c>
      <c r="D73" s="18"/>
      <c r="E73" s="18"/>
      <c r="F73" s="18"/>
      <c r="G73" s="18" t="str">
        <f aca="false">IF(COUNT(D73:F73)=3,SUM(D73:F73),"")</f>
        <v/>
      </c>
      <c r="H73" s="9"/>
    </row>
    <row r="74" customFormat="false" ht="15" hidden="false" customHeight="false" outlineLevel="0" collapsed="false">
      <c r="A74" s="18" t="s">
        <v>135</v>
      </c>
      <c r="B74" s="18" t="n">
        <v>2</v>
      </c>
      <c r="C74" s="18" t="s">
        <v>311</v>
      </c>
      <c r="D74" s="18"/>
      <c r="E74" s="18"/>
      <c r="F74" s="18"/>
      <c r="G74" s="18" t="str">
        <f aca="false">IF(COUNT(D74:F74)=3,SUM(D74:F74),"")</f>
        <v/>
      </c>
      <c r="H74" s="9"/>
    </row>
    <row r="75" customFormat="false" ht="15" hidden="false" customHeight="false" outlineLevel="0" collapsed="false">
      <c r="A75" s="18" t="s">
        <v>135</v>
      </c>
      <c r="B75" s="18" t="n">
        <v>2</v>
      </c>
      <c r="C75" s="18" t="s">
        <v>312</v>
      </c>
      <c r="D75" s="18"/>
      <c r="E75" s="18"/>
      <c r="F75" s="18"/>
      <c r="G75" s="18" t="str">
        <f aca="false">IF(COUNT(D75:F75)=3,SUM(D75:F75),"")</f>
        <v/>
      </c>
      <c r="H75" s="9"/>
    </row>
    <row r="76" customFormat="false" ht="15" hidden="false" customHeight="false" outlineLevel="0" collapsed="false">
      <c r="A76" s="18" t="s">
        <v>135</v>
      </c>
      <c r="B76" s="18" t="n">
        <v>2</v>
      </c>
      <c r="C76" s="18" t="s">
        <v>313</v>
      </c>
      <c r="D76" s="18"/>
      <c r="E76" s="18"/>
      <c r="F76" s="18"/>
      <c r="G76" s="18" t="str">
        <f aca="false">IF(COUNT(D76:F76)=3,SUM(D76:F76),"")</f>
        <v/>
      </c>
      <c r="H76" s="9"/>
    </row>
    <row r="77" customFormat="false" ht="15" hidden="false" customHeight="false" outlineLevel="0" collapsed="false">
      <c r="A77" s="18" t="s">
        <v>135</v>
      </c>
      <c r="B77" s="18" t="n">
        <v>2</v>
      </c>
      <c r="C77" s="18" t="s">
        <v>314</v>
      </c>
      <c r="D77" s="18"/>
      <c r="E77" s="18"/>
      <c r="F77" s="18"/>
      <c r="G77" s="18" t="str">
        <f aca="false">IF(COUNT(D77:F77)=3,SUM(D77:F77),"")</f>
        <v/>
      </c>
      <c r="H77" s="9"/>
    </row>
    <row r="78" customFormat="false" ht="15" hidden="false" customHeight="false" outlineLevel="0" collapsed="false">
      <c r="A78" s="18" t="s">
        <v>139</v>
      </c>
      <c r="B78" s="18" t="n">
        <v>2</v>
      </c>
      <c r="C78" s="18" t="s">
        <v>311</v>
      </c>
      <c r="D78" s="18"/>
      <c r="E78" s="18"/>
      <c r="F78" s="18"/>
      <c r="G78" s="18" t="str">
        <f aca="false">IF(COUNT(D78:F78)=3,SUM(D78:F78),"")</f>
        <v/>
      </c>
      <c r="H78" s="9"/>
    </row>
    <row r="79" customFormat="false" ht="15" hidden="false" customHeight="false" outlineLevel="0" collapsed="false">
      <c r="A79" s="18" t="s">
        <v>139</v>
      </c>
      <c r="B79" s="18" t="n">
        <v>2</v>
      </c>
      <c r="C79" s="18" t="s">
        <v>312</v>
      </c>
      <c r="D79" s="18"/>
      <c r="E79" s="18"/>
      <c r="F79" s="18"/>
      <c r="G79" s="18" t="str">
        <f aca="false">IF(COUNT(D79:F79)=3,SUM(D79:F79),"")</f>
        <v/>
      </c>
      <c r="H79" s="9"/>
    </row>
    <row r="80" customFormat="false" ht="15" hidden="false" customHeight="false" outlineLevel="0" collapsed="false">
      <c r="A80" s="18" t="s">
        <v>139</v>
      </c>
      <c r="B80" s="18" t="n">
        <v>2</v>
      </c>
      <c r="C80" s="18" t="s">
        <v>313</v>
      </c>
      <c r="D80" s="18"/>
      <c r="E80" s="18"/>
      <c r="F80" s="18"/>
      <c r="G80" s="18" t="str">
        <f aca="false">IF(COUNT(D80:F80)=3,SUM(D80:F80),"")</f>
        <v/>
      </c>
      <c r="H80" s="9"/>
    </row>
    <row r="81" customFormat="false" ht="15" hidden="false" customHeight="false" outlineLevel="0" collapsed="false">
      <c r="A81" s="18" t="s">
        <v>139</v>
      </c>
      <c r="B81" s="18" t="n">
        <v>2</v>
      </c>
      <c r="C81" s="18" t="s">
        <v>314</v>
      </c>
      <c r="D81" s="18"/>
      <c r="E81" s="18"/>
      <c r="F81" s="18"/>
      <c r="G81" s="18" t="str">
        <f aca="false">IF(COUNT(D81:F81)=3,SUM(D81:F81),"")</f>
        <v/>
      </c>
      <c r="H81" s="9"/>
    </row>
    <row r="82" customFormat="false" ht="15" hidden="false" customHeight="false" outlineLevel="0" collapsed="false">
      <c r="A82" s="18" t="s">
        <v>143</v>
      </c>
      <c r="B82" s="18" t="n">
        <v>3</v>
      </c>
      <c r="C82" s="18" t="s">
        <v>311</v>
      </c>
      <c r="D82" s="18"/>
      <c r="E82" s="18"/>
      <c r="F82" s="18"/>
      <c r="G82" s="18" t="str">
        <f aca="false">IF(COUNT(D82:F82)=3,SUM(D82:F82),"")</f>
        <v/>
      </c>
      <c r="H82" s="9"/>
    </row>
    <row r="83" customFormat="false" ht="15" hidden="false" customHeight="false" outlineLevel="0" collapsed="false">
      <c r="A83" s="18" t="s">
        <v>143</v>
      </c>
      <c r="B83" s="18" t="n">
        <v>3</v>
      </c>
      <c r="C83" s="18" t="s">
        <v>312</v>
      </c>
      <c r="D83" s="18"/>
      <c r="E83" s="18"/>
      <c r="F83" s="18"/>
      <c r="G83" s="18" t="str">
        <f aca="false">IF(COUNT(D83:F83)=3,SUM(D83:F83),"")</f>
        <v/>
      </c>
      <c r="H83" s="9"/>
    </row>
    <row r="84" customFormat="false" ht="15" hidden="false" customHeight="false" outlineLevel="0" collapsed="false">
      <c r="A84" s="18" t="s">
        <v>143</v>
      </c>
      <c r="B84" s="18" t="n">
        <v>3</v>
      </c>
      <c r="C84" s="18" t="s">
        <v>313</v>
      </c>
      <c r="D84" s="18"/>
      <c r="E84" s="18"/>
      <c r="F84" s="18"/>
      <c r="G84" s="18" t="str">
        <f aca="false">IF(COUNT(D84:F84)=3,SUM(D84:F84),"")</f>
        <v/>
      </c>
      <c r="H84" s="9"/>
    </row>
    <row r="85" customFormat="false" ht="15" hidden="false" customHeight="false" outlineLevel="0" collapsed="false">
      <c r="A85" s="18" t="s">
        <v>143</v>
      </c>
      <c r="B85" s="18" t="n">
        <v>3</v>
      </c>
      <c r="C85" s="18" t="s">
        <v>314</v>
      </c>
      <c r="D85" s="18"/>
      <c r="E85" s="18"/>
      <c r="F85" s="18"/>
      <c r="G85" s="18" t="str">
        <f aca="false">IF(COUNT(D85:F85)=3,SUM(D85:F85),"")</f>
        <v/>
      </c>
      <c r="H85" s="9"/>
    </row>
    <row r="86" customFormat="false" ht="15" hidden="false" customHeight="false" outlineLevel="0" collapsed="false">
      <c r="A86" s="18" t="s">
        <v>148</v>
      </c>
      <c r="B86" s="18" t="n">
        <v>3</v>
      </c>
      <c r="C86" s="18" t="s">
        <v>311</v>
      </c>
      <c r="D86" s="18"/>
      <c r="E86" s="18"/>
      <c r="F86" s="18"/>
      <c r="G86" s="18" t="str">
        <f aca="false">IF(COUNT(D86:F86)=3,SUM(D86:F86),"")</f>
        <v/>
      </c>
      <c r="H86" s="9"/>
    </row>
    <row r="87" customFormat="false" ht="15" hidden="false" customHeight="false" outlineLevel="0" collapsed="false">
      <c r="A87" s="18" t="s">
        <v>148</v>
      </c>
      <c r="B87" s="18" t="n">
        <v>3</v>
      </c>
      <c r="C87" s="18" t="s">
        <v>312</v>
      </c>
      <c r="D87" s="18"/>
      <c r="E87" s="18"/>
      <c r="F87" s="18"/>
      <c r="G87" s="18" t="str">
        <f aca="false">IF(COUNT(D87:F87)=3,SUM(D87:F87),"")</f>
        <v/>
      </c>
      <c r="H87" s="9"/>
    </row>
    <row r="88" customFormat="false" ht="15" hidden="false" customHeight="false" outlineLevel="0" collapsed="false">
      <c r="A88" s="18" t="s">
        <v>148</v>
      </c>
      <c r="B88" s="18" t="n">
        <v>3</v>
      </c>
      <c r="C88" s="18" t="s">
        <v>313</v>
      </c>
      <c r="D88" s="18"/>
      <c r="E88" s="18"/>
      <c r="F88" s="18"/>
      <c r="G88" s="18" t="str">
        <f aca="false">IF(COUNT(D88:F88)=3,SUM(D88:F88),"")</f>
        <v/>
      </c>
      <c r="H88" s="9"/>
    </row>
    <row r="89" customFormat="false" ht="15" hidden="false" customHeight="false" outlineLevel="0" collapsed="false">
      <c r="A89" s="18" t="s">
        <v>148</v>
      </c>
      <c r="B89" s="18" t="n">
        <v>3</v>
      </c>
      <c r="C89" s="18" t="s">
        <v>314</v>
      </c>
      <c r="D89" s="18"/>
      <c r="E89" s="18"/>
      <c r="F89" s="18"/>
      <c r="G89" s="18" t="str">
        <f aca="false">IF(COUNT(D89:F89)=3,SUM(D89:F89),"")</f>
        <v/>
      </c>
      <c r="H89" s="9"/>
    </row>
    <row r="90" customFormat="false" ht="15" hidden="false" customHeight="false" outlineLevel="0" collapsed="false">
      <c r="A90" s="18" t="s">
        <v>152</v>
      </c>
      <c r="B90" s="18" t="n">
        <v>3</v>
      </c>
      <c r="C90" s="18" t="s">
        <v>311</v>
      </c>
      <c r="D90" s="18"/>
      <c r="E90" s="18"/>
      <c r="F90" s="18"/>
      <c r="G90" s="18" t="str">
        <f aca="false">IF(COUNT(D90:F90)=3,SUM(D90:F90),"")</f>
        <v/>
      </c>
      <c r="H90" s="9"/>
    </row>
    <row r="91" customFormat="false" ht="15" hidden="false" customHeight="false" outlineLevel="0" collapsed="false">
      <c r="A91" s="18" t="s">
        <v>152</v>
      </c>
      <c r="B91" s="18" t="n">
        <v>3</v>
      </c>
      <c r="C91" s="18" t="s">
        <v>312</v>
      </c>
      <c r="D91" s="18"/>
      <c r="E91" s="18"/>
      <c r="F91" s="18"/>
      <c r="G91" s="18" t="str">
        <f aca="false">IF(COUNT(D91:F91)=3,SUM(D91:F91),"")</f>
        <v/>
      </c>
      <c r="H91" s="9"/>
    </row>
    <row r="92" customFormat="false" ht="15" hidden="false" customHeight="false" outlineLevel="0" collapsed="false">
      <c r="A92" s="18" t="s">
        <v>152</v>
      </c>
      <c r="B92" s="18" t="n">
        <v>3</v>
      </c>
      <c r="C92" s="18" t="s">
        <v>313</v>
      </c>
      <c r="D92" s="18"/>
      <c r="E92" s="18"/>
      <c r="F92" s="18"/>
      <c r="G92" s="18" t="str">
        <f aca="false">IF(COUNT(D92:F92)=3,SUM(D92:F92),"")</f>
        <v/>
      </c>
      <c r="H92" s="9"/>
    </row>
    <row r="93" customFormat="false" ht="15" hidden="false" customHeight="false" outlineLevel="0" collapsed="false">
      <c r="A93" s="18" t="s">
        <v>152</v>
      </c>
      <c r="B93" s="18" t="n">
        <v>3</v>
      </c>
      <c r="C93" s="18" t="s">
        <v>314</v>
      </c>
      <c r="D93" s="18"/>
      <c r="E93" s="18"/>
      <c r="F93" s="18"/>
      <c r="G93" s="18" t="str">
        <f aca="false">IF(COUNT(D93:F93)=3,SUM(D93:F93),"")</f>
        <v/>
      </c>
      <c r="H93" s="9"/>
    </row>
    <row r="94" customFormat="false" ht="15" hidden="false" customHeight="false" outlineLevel="0" collapsed="false">
      <c r="A94" s="18" t="s">
        <v>156</v>
      </c>
      <c r="B94" s="18" t="n">
        <v>3</v>
      </c>
      <c r="C94" s="18" t="s">
        <v>311</v>
      </c>
      <c r="D94" s="18"/>
      <c r="E94" s="18"/>
      <c r="F94" s="18"/>
      <c r="G94" s="18" t="str">
        <f aca="false">IF(COUNT(D94:F94)=3,SUM(D94:F94),"")</f>
        <v/>
      </c>
      <c r="H94" s="9"/>
    </row>
    <row r="95" customFormat="false" ht="15" hidden="false" customHeight="false" outlineLevel="0" collapsed="false">
      <c r="A95" s="18" t="s">
        <v>156</v>
      </c>
      <c r="B95" s="18" t="n">
        <v>3</v>
      </c>
      <c r="C95" s="18" t="s">
        <v>312</v>
      </c>
      <c r="D95" s="18"/>
      <c r="E95" s="18"/>
      <c r="F95" s="18"/>
      <c r="G95" s="18" t="str">
        <f aca="false">IF(COUNT(D95:F95)=3,SUM(D95:F95),"")</f>
        <v/>
      </c>
      <c r="H95" s="9"/>
    </row>
    <row r="96" customFormat="false" ht="15" hidden="false" customHeight="false" outlineLevel="0" collapsed="false">
      <c r="A96" s="18" t="s">
        <v>156</v>
      </c>
      <c r="B96" s="18" t="n">
        <v>3</v>
      </c>
      <c r="C96" s="18" t="s">
        <v>313</v>
      </c>
      <c r="D96" s="18"/>
      <c r="E96" s="18"/>
      <c r="F96" s="18"/>
      <c r="G96" s="18" t="str">
        <f aca="false">IF(COUNT(D96:F96)=3,SUM(D96:F96),"")</f>
        <v/>
      </c>
      <c r="H96" s="9"/>
    </row>
    <row r="97" customFormat="false" ht="15" hidden="false" customHeight="false" outlineLevel="0" collapsed="false">
      <c r="A97" s="18" t="s">
        <v>156</v>
      </c>
      <c r="B97" s="18" t="n">
        <v>3</v>
      </c>
      <c r="C97" s="18" t="s">
        <v>314</v>
      </c>
      <c r="D97" s="18"/>
      <c r="E97" s="18"/>
      <c r="F97" s="18"/>
      <c r="G97" s="18" t="str">
        <f aca="false">IF(COUNT(D97:F97)=3,SUM(D97:F97),"")</f>
        <v/>
      </c>
      <c r="H97" s="9"/>
    </row>
    <row r="98" customFormat="false" ht="15" hidden="false" customHeight="false" outlineLevel="0" collapsed="false">
      <c r="A98" s="18" t="s">
        <v>160</v>
      </c>
      <c r="B98" s="18" t="n">
        <v>3</v>
      </c>
      <c r="C98" s="18" t="s">
        <v>311</v>
      </c>
      <c r="D98" s="18"/>
      <c r="E98" s="18"/>
      <c r="F98" s="18"/>
      <c r="G98" s="18" t="str">
        <f aca="false">IF(COUNT(D98:F98)=3,SUM(D98:F98),"")</f>
        <v/>
      </c>
      <c r="H98" s="9"/>
    </row>
    <row r="99" customFormat="false" ht="15" hidden="false" customHeight="false" outlineLevel="0" collapsed="false">
      <c r="A99" s="18" t="s">
        <v>160</v>
      </c>
      <c r="B99" s="18" t="n">
        <v>3</v>
      </c>
      <c r="C99" s="18" t="s">
        <v>312</v>
      </c>
      <c r="D99" s="18"/>
      <c r="E99" s="18"/>
      <c r="F99" s="18"/>
      <c r="G99" s="18" t="str">
        <f aca="false">IF(COUNT(D99:F99)=3,SUM(D99:F99),"")</f>
        <v/>
      </c>
      <c r="H99" s="9"/>
    </row>
    <row r="100" customFormat="false" ht="15" hidden="false" customHeight="false" outlineLevel="0" collapsed="false">
      <c r="A100" s="18" t="s">
        <v>160</v>
      </c>
      <c r="B100" s="18" t="n">
        <v>3</v>
      </c>
      <c r="C100" s="18" t="s">
        <v>313</v>
      </c>
      <c r="D100" s="18"/>
      <c r="E100" s="18"/>
      <c r="F100" s="18"/>
      <c r="G100" s="18" t="str">
        <f aca="false">IF(COUNT(D100:F100)=3,SUM(D100:F100),"")</f>
        <v/>
      </c>
      <c r="H100" s="9"/>
    </row>
    <row r="101" customFormat="false" ht="15" hidden="false" customHeight="false" outlineLevel="0" collapsed="false">
      <c r="A101" s="18" t="s">
        <v>160</v>
      </c>
      <c r="B101" s="18" t="n">
        <v>3</v>
      </c>
      <c r="C101" s="18" t="s">
        <v>314</v>
      </c>
      <c r="D101" s="18"/>
      <c r="E101" s="18"/>
      <c r="F101" s="18"/>
      <c r="G101" s="18" t="str">
        <f aca="false">IF(COUNT(D101:F101)=3,SUM(D101:F101),"")</f>
        <v/>
      </c>
      <c r="H101" s="9"/>
    </row>
    <row r="102" customFormat="false" ht="15" hidden="false" customHeight="false" outlineLevel="0" collapsed="false">
      <c r="A102" s="18" t="s">
        <v>164</v>
      </c>
      <c r="B102" s="18" t="n">
        <v>3</v>
      </c>
      <c r="C102" s="18" t="s">
        <v>311</v>
      </c>
      <c r="D102" s="18"/>
      <c r="E102" s="18"/>
      <c r="F102" s="18"/>
      <c r="G102" s="18" t="str">
        <f aca="false">IF(COUNT(D102:F102)=3,SUM(D102:F102),"")</f>
        <v/>
      </c>
      <c r="H102" s="9"/>
    </row>
    <row r="103" customFormat="false" ht="15" hidden="false" customHeight="false" outlineLevel="0" collapsed="false">
      <c r="A103" s="18" t="s">
        <v>164</v>
      </c>
      <c r="B103" s="18" t="n">
        <v>3</v>
      </c>
      <c r="C103" s="18" t="s">
        <v>312</v>
      </c>
      <c r="D103" s="18"/>
      <c r="E103" s="18"/>
      <c r="F103" s="18"/>
      <c r="G103" s="18" t="str">
        <f aca="false">IF(COUNT(D103:F103)=3,SUM(D103:F103),"")</f>
        <v/>
      </c>
      <c r="H103" s="9"/>
    </row>
    <row r="104" customFormat="false" ht="15" hidden="false" customHeight="false" outlineLevel="0" collapsed="false">
      <c r="A104" s="18" t="s">
        <v>164</v>
      </c>
      <c r="B104" s="18" t="n">
        <v>3</v>
      </c>
      <c r="C104" s="18" t="s">
        <v>313</v>
      </c>
      <c r="D104" s="18"/>
      <c r="E104" s="18"/>
      <c r="F104" s="18"/>
      <c r="G104" s="18" t="str">
        <f aca="false">IF(COUNT(D104:F104)=3,SUM(D104:F104),"")</f>
        <v/>
      </c>
      <c r="H104" s="9"/>
    </row>
    <row r="105" customFormat="false" ht="15" hidden="false" customHeight="false" outlineLevel="0" collapsed="false">
      <c r="A105" s="18" t="s">
        <v>164</v>
      </c>
      <c r="B105" s="18" t="n">
        <v>3</v>
      </c>
      <c r="C105" s="18" t="s">
        <v>314</v>
      </c>
      <c r="D105" s="18"/>
      <c r="E105" s="18"/>
      <c r="F105" s="18"/>
      <c r="G105" s="18" t="str">
        <f aca="false">IF(COUNT(D105:F105)=3,SUM(D105:F105),"")</f>
        <v/>
      </c>
      <c r="H105" s="9"/>
    </row>
    <row r="106" customFormat="false" ht="15" hidden="false" customHeight="false" outlineLevel="0" collapsed="false">
      <c r="A106" s="18" t="s">
        <v>168</v>
      </c>
      <c r="B106" s="18" t="n">
        <v>3</v>
      </c>
      <c r="C106" s="18" t="s">
        <v>311</v>
      </c>
      <c r="D106" s="18"/>
      <c r="E106" s="18"/>
      <c r="F106" s="18"/>
      <c r="G106" s="18" t="str">
        <f aca="false">IF(COUNT(D106:F106)=3,SUM(D106:F106),"")</f>
        <v/>
      </c>
      <c r="H106" s="9"/>
    </row>
    <row r="107" customFormat="false" ht="15" hidden="false" customHeight="false" outlineLevel="0" collapsed="false">
      <c r="A107" s="18" t="s">
        <v>168</v>
      </c>
      <c r="B107" s="18" t="n">
        <v>3</v>
      </c>
      <c r="C107" s="18" t="s">
        <v>312</v>
      </c>
      <c r="D107" s="18"/>
      <c r="E107" s="18"/>
      <c r="F107" s="18"/>
      <c r="G107" s="18" t="str">
        <f aca="false">IF(COUNT(D107:F107)=3,SUM(D107:F107),"")</f>
        <v/>
      </c>
      <c r="H107" s="9"/>
    </row>
    <row r="108" customFormat="false" ht="15" hidden="false" customHeight="false" outlineLevel="0" collapsed="false">
      <c r="A108" s="18" t="s">
        <v>168</v>
      </c>
      <c r="B108" s="18" t="n">
        <v>3</v>
      </c>
      <c r="C108" s="18" t="s">
        <v>313</v>
      </c>
      <c r="D108" s="18"/>
      <c r="E108" s="18"/>
      <c r="F108" s="18"/>
      <c r="G108" s="18" t="str">
        <f aca="false">IF(COUNT(D108:F108)=3,SUM(D108:F108),"")</f>
        <v/>
      </c>
      <c r="H108" s="9"/>
    </row>
    <row r="109" customFormat="false" ht="15" hidden="false" customHeight="false" outlineLevel="0" collapsed="false">
      <c r="A109" s="18" t="s">
        <v>168</v>
      </c>
      <c r="B109" s="18" t="n">
        <v>3</v>
      </c>
      <c r="C109" s="18" t="s">
        <v>314</v>
      </c>
      <c r="D109" s="18"/>
      <c r="E109" s="18"/>
      <c r="F109" s="18"/>
      <c r="G109" s="18" t="str">
        <f aca="false">IF(COUNT(D109:F109)=3,SUM(D109:F109),"")</f>
        <v/>
      </c>
      <c r="H109" s="9"/>
    </row>
    <row r="110" customFormat="false" ht="15" hidden="false" customHeight="false" outlineLevel="0" collapsed="false">
      <c r="A110" s="18" t="s">
        <v>172</v>
      </c>
      <c r="B110" s="18" t="n">
        <v>3</v>
      </c>
      <c r="C110" s="18" t="s">
        <v>311</v>
      </c>
      <c r="D110" s="18"/>
      <c r="E110" s="18"/>
      <c r="F110" s="18"/>
      <c r="G110" s="18" t="str">
        <f aca="false">IF(COUNT(D110:F110)=3,SUM(D110:F110),"")</f>
        <v/>
      </c>
      <c r="H110" s="9"/>
    </row>
    <row r="111" customFormat="false" ht="15" hidden="false" customHeight="false" outlineLevel="0" collapsed="false">
      <c r="A111" s="18" t="s">
        <v>172</v>
      </c>
      <c r="B111" s="18" t="n">
        <v>3</v>
      </c>
      <c r="C111" s="18" t="s">
        <v>312</v>
      </c>
      <c r="D111" s="18"/>
      <c r="E111" s="18"/>
      <c r="F111" s="18"/>
      <c r="G111" s="18" t="str">
        <f aca="false">IF(COUNT(D111:F111)=3,SUM(D111:F111),"")</f>
        <v/>
      </c>
      <c r="H111" s="9"/>
    </row>
    <row r="112" customFormat="false" ht="15" hidden="false" customHeight="false" outlineLevel="0" collapsed="false">
      <c r="A112" s="18" t="s">
        <v>172</v>
      </c>
      <c r="B112" s="18" t="n">
        <v>3</v>
      </c>
      <c r="C112" s="18" t="s">
        <v>313</v>
      </c>
      <c r="D112" s="18"/>
      <c r="E112" s="18"/>
      <c r="F112" s="18"/>
      <c r="G112" s="18" t="str">
        <f aca="false">IF(COUNT(D112:F112)=3,SUM(D112:F112),"")</f>
        <v/>
      </c>
      <c r="H112" s="9"/>
    </row>
    <row r="113" customFormat="false" ht="15" hidden="false" customHeight="false" outlineLevel="0" collapsed="false">
      <c r="A113" s="18" t="s">
        <v>172</v>
      </c>
      <c r="B113" s="18" t="n">
        <v>3</v>
      </c>
      <c r="C113" s="18" t="s">
        <v>314</v>
      </c>
      <c r="D113" s="18"/>
      <c r="E113" s="18"/>
      <c r="F113" s="18"/>
      <c r="G113" s="18" t="str">
        <f aca="false">IF(COUNT(D113:F113)=3,SUM(D113:F113),"")</f>
        <v/>
      </c>
      <c r="H113" s="9"/>
    </row>
    <row r="114" customFormat="false" ht="15" hidden="false" customHeight="false" outlineLevel="0" collapsed="false">
      <c r="A114" s="18" t="s">
        <v>176</v>
      </c>
      <c r="B114" s="18" t="n">
        <v>3</v>
      </c>
      <c r="C114" s="18" t="s">
        <v>311</v>
      </c>
      <c r="D114" s="18"/>
      <c r="E114" s="18"/>
      <c r="F114" s="18"/>
      <c r="G114" s="18" t="str">
        <f aca="false">IF(COUNT(D114:F114)=3,SUM(D114:F114),"")</f>
        <v/>
      </c>
      <c r="H114" s="9"/>
    </row>
    <row r="115" customFormat="false" ht="15" hidden="false" customHeight="false" outlineLevel="0" collapsed="false">
      <c r="A115" s="18" t="s">
        <v>176</v>
      </c>
      <c r="B115" s="18" t="n">
        <v>3</v>
      </c>
      <c r="C115" s="18" t="s">
        <v>312</v>
      </c>
      <c r="D115" s="18"/>
      <c r="E115" s="18"/>
      <c r="F115" s="18"/>
      <c r="G115" s="18" t="str">
        <f aca="false">IF(COUNT(D115:F115)=3,SUM(D115:F115),"")</f>
        <v/>
      </c>
      <c r="H115" s="9"/>
    </row>
    <row r="116" customFormat="false" ht="15" hidden="false" customHeight="false" outlineLevel="0" collapsed="false">
      <c r="A116" s="18" t="s">
        <v>176</v>
      </c>
      <c r="B116" s="18" t="n">
        <v>3</v>
      </c>
      <c r="C116" s="18" t="s">
        <v>313</v>
      </c>
      <c r="D116" s="18"/>
      <c r="E116" s="18"/>
      <c r="F116" s="18"/>
      <c r="G116" s="18" t="str">
        <f aca="false">IF(COUNT(D116:F116)=3,SUM(D116:F116),"")</f>
        <v/>
      </c>
      <c r="H116" s="9"/>
    </row>
    <row r="117" customFormat="false" ht="15" hidden="false" customHeight="false" outlineLevel="0" collapsed="false">
      <c r="A117" s="18" t="s">
        <v>176</v>
      </c>
      <c r="B117" s="18" t="n">
        <v>3</v>
      </c>
      <c r="C117" s="18" t="s">
        <v>314</v>
      </c>
      <c r="D117" s="18"/>
      <c r="E117" s="18"/>
      <c r="F117" s="18"/>
      <c r="G117" s="18" t="str">
        <f aca="false">IF(COUNT(D117:F117)=3,SUM(D117:F117),"")</f>
        <v/>
      </c>
      <c r="H117" s="9"/>
    </row>
    <row r="118" customFormat="false" ht="15" hidden="false" customHeight="false" outlineLevel="0" collapsed="false">
      <c r="A118" s="18" t="s">
        <v>180</v>
      </c>
      <c r="B118" s="18" t="n">
        <v>3</v>
      </c>
      <c r="C118" s="18" t="s">
        <v>311</v>
      </c>
      <c r="D118" s="18"/>
      <c r="E118" s="18"/>
      <c r="F118" s="18"/>
      <c r="G118" s="18" t="str">
        <f aca="false">IF(COUNT(D118:F118)=3,SUM(D118:F118),"")</f>
        <v/>
      </c>
      <c r="H118" s="9"/>
    </row>
    <row r="119" customFormat="false" ht="15" hidden="false" customHeight="false" outlineLevel="0" collapsed="false">
      <c r="A119" s="18" t="s">
        <v>180</v>
      </c>
      <c r="B119" s="18" t="n">
        <v>3</v>
      </c>
      <c r="C119" s="18" t="s">
        <v>312</v>
      </c>
      <c r="D119" s="18"/>
      <c r="E119" s="18"/>
      <c r="F119" s="18"/>
      <c r="G119" s="18" t="str">
        <f aca="false">IF(COUNT(D119:F119)=3,SUM(D119:F119),"")</f>
        <v/>
      </c>
      <c r="H119" s="9"/>
    </row>
    <row r="120" customFormat="false" ht="15" hidden="false" customHeight="false" outlineLevel="0" collapsed="false">
      <c r="A120" s="18" t="s">
        <v>180</v>
      </c>
      <c r="B120" s="18" t="n">
        <v>3</v>
      </c>
      <c r="C120" s="18" t="s">
        <v>313</v>
      </c>
      <c r="D120" s="18"/>
      <c r="E120" s="18"/>
      <c r="F120" s="18"/>
      <c r="G120" s="18" t="str">
        <f aca="false">IF(COUNT(D120:F120)=3,SUM(D120:F120),"")</f>
        <v/>
      </c>
      <c r="H120" s="9"/>
    </row>
    <row r="121" customFormat="false" ht="15" hidden="false" customHeight="false" outlineLevel="0" collapsed="false">
      <c r="A121" s="18" t="s">
        <v>180</v>
      </c>
      <c r="B121" s="18" t="n">
        <v>3</v>
      </c>
      <c r="C121" s="18" t="s">
        <v>314</v>
      </c>
      <c r="D121" s="18"/>
      <c r="E121" s="18"/>
      <c r="F121" s="18"/>
      <c r="G121" s="18" t="str">
        <f aca="false">IF(COUNT(D121:F121)=3,SUM(D121:F121),"")</f>
        <v/>
      </c>
      <c r="H121" s="9"/>
    </row>
    <row r="122" customFormat="false" ht="15" hidden="false" customHeight="false" outlineLevel="0" collapsed="false">
      <c r="A122" s="18" t="s">
        <v>184</v>
      </c>
      <c r="B122" s="18" t="n">
        <v>4</v>
      </c>
      <c r="C122" s="18" t="s">
        <v>311</v>
      </c>
      <c r="D122" s="18"/>
      <c r="E122" s="18"/>
      <c r="F122" s="18"/>
      <c r="G122" s="18" t="str">
        <f aca="false">IF(COUNT(D122:F122)=3,SUM(D122:F122),"")</f>
        <v/>
      </c>
      <c r="H122" s="9"/>
    </row>
    <row r="123" customFormat="false" ht="15" hidden="false" customHeight="false" outlineLevel="0" collapsed="false">
      <c r="A123" s="18" t="s">
        <v>184</v>
      </c>
      <c r="B123" s="18" t="n">
        <v>4</v>
      </c>
      <c r="C123" s="18" t="s">
        <v>312</v>
      </c>
      <c r="D123" s="18"/>
      <c r="E123" s="18"/>
      <c r="F123" s="18"/>
      <c r="G123" s="18" t="str">
        <f aca="false">IF(COUNT(D123:F123)=3,SUM(D123:F123),"")</f>
        <v/>
      </c>
      <c r="H123" s="9"/>
    </row>
    <row r="124" customFormat="false" ht="15" hidden="false" customHeight="false" outlineLevel="0" collapsed="false">
      <c r="A124" s="18" t="s">
        <v>184</v>
      </c>
      <c r="B124" s="18" t="n">
        <v>4</v>
      </c>
      <c r="C124" s="18" t="s">
        <v>313</v>
      </c>
      <c r="D124" s="18"/>
      <c r="E124" s="18"/>
      <c r="F124" s="18"/>
      <c r="G124" s="18" t="str">
        <f aca="false">IF(COUNT(D124:F124)=3,SUM(D124:F124),"")</f>
        <v/>
      </c>
      <c r="H124" s="9"/>
    </row>
    <row r="125" customFormat="false" ht="15" hidden="false" customHeight="false" outlineLevel="0" collapsed="false">
      <c r="A125" s="18" t="s">
        <v>184</v>
      </c>
      <c r="B125" s="18" t="n">
        <v>4</v>
      </c>
      <c r="C125" s="18" t="s">
        <v>314</v>
      </c>
      <c r="D125" s="18"/>
      <c r="E125" s="18"/>
      <c r="F125" s="18"/>
      <c r="G125" s="18" t="str">
        <f aca="false">IF(COUNT(D125:F125)=3,SUM(D125:F125),"")</f>
        <v/>
      </c>
      <c r="H125" s="9"/>
    </row>
    <row r="126" customFormat="false" ht="15" hidden="false" customHeight="false" outlineLevel="0" collapsed="false">
      <c r="A126" s="18" t="s">
        <v>189</v>
      </c>
      <c r="B126" s="18" t="n">
        <v>4</v>
      </c>
      <c r="C126" s="18" t="s">
        <v>311</v>
      </c>
      <c r="D126" s="18"/>
      <c r="E126" s="18"/>
      <c r="F126" s="18"/>
      <c r="G126" s="18" t="str">
        <f aca="false">IF(COUNT(D126:F126)=3,SUM(D126:F126),"")</f>
        <v/>
      </c>
      <c r="H126" s="9"/>
    </row>
    <row r="127" customFormat="false" ht="15" hidden="false" customHeight="false" outlineLevel="0" collapsed="false">
      <c r="A127" s="18" t="s">
        <v>189</v>
      </c>
      <c r="B127" s="18" t="n">
        <v>4</v>
      </c>
      <c r="C127" s="18" t="s">
        <v>312</v>
      </c>
      <c r="D127" s="18"/>
      <c r="E127" s="18"/>
      <c r="F127" s="18"/>
      <c r="G127" s="18" t="str">
        <f aca="false">IF(COUNT(D127:F127)=3,SUM(D127:F127),"")</f>
        <v/>
      </c>
      <c r="H127" s="9"/>
    </row>
    <row r="128" customFormat="false" ht="15" hidden="false" customHeight="false" outlineLevel="0" collapsed="false">
      <c r="A128" s="18" t="s">
        <v>189</v>
      </c>
      <c r="B128" s="18" t="n">
        <v>4</v>
      </c>
      <c r="C128" s="18" t="s">
        <v>313</v>
      </c>
      <c r="D128" s="18"/>
      <c r="E128" s="18"/>
      <c r="F128" s="18"/>
      <c r="G128" s="18" t="str">
        <f aca="false">IF(COUNT(D128:F128)=3,SUM(D128:F128),"")</f>
        <v/>
      </c>
      <c r="H128" s="9"/>
    </row>
    <row r="129" customFormat="false" ht="15" hidden="false" customHeight="false" outlineLevel="0" collapsed="false">
      <c r="A129" s="18" t="s">
        <v>189</v>
      </c>
      <c r="B129" s="18" t="n">
        <v>4</v>
      </c>
      <c r="C129" s="18" t="s">
        <v>314</v>
      </c>
      <c r="D129" s="18"/>
      <c r="E129" s="18"/>
      <c r="F129" s="18"/>
      <c r="G129" s="18" t="str">
        <f aca="false">IF(COUNT(D129:F129)=3,SUM(D129:F129),"")</f>
        <v/>
      </c>
      <c r="H129" s="9"/>
    </row>
    <row r="130" customFormat="false" ht="15" hidden="false" customHeight="false" outlineLevel="0" collapsed="false">
      <c r="A130" s="18" t="s">
        <v>193</v>
      </c>
      <c r="B130" s="18" t="n">
        <v>4</v>
      </c>
      <c r="C130" s="18" t="s">
        <v>311</v>
      </c>
      <c r="D130" s="18"/>
      <c r="E130" s="18"/>
      <c r="F130" s="18"/>
      <c r="G130" s="18" t="str">
        <f aca="false">IF(COUNT(D130:F130)=3,SUM(D130:F130),"")</f>
        <v/>
      </c>
      <c r="H130" s="9"/>
    </row>
    <row r="131" customFormat="false" ht="15" hidden="false" customHeight="false" outlineLevel="0" collapsed="false">
      <c r="A131" s="18" t="s">
        <v>193</v>
      </c>
      <c r="B131" s="18" t="n">
        <v>4</v>
      </c>
      <c r="C131" s="18" t="s">
        <v>312</v>
      </c>
      <c r="D131" s="18"/>
      <c r="E131" s="18"/>
      <c r="F131" s="18"/>
      <c r="G131" s="18" t="str">
        <f aca="false">IF(COUNT(D131:F131)=3,SUM(D131:F131),"")</f>
        <v/>
      </c>
      <c r="H131" s="9"/>
    </row>
    <row r="132" customFormat="false" ht="15" hidden="false" customHeight="false" outlineLevel="0" collapsed="false">
      <c r="A132" s="18" t="s">
        <v>193</v>
      </c>
      <c r="B132" s="18" t="n">
        <v>4</v>
      </c>
      <c r="C132" s="18" t="s">
        <v>313</v>
      </c>
      <c r="D132" s="18"/>
      <c r="E132" s="18"/>
      <c r="F132" s="18"/>
      <c r="G132" s="18" t="str">
        <f aca="false">IF(COUNT(D132:F132)=3,SUM(D132:F132),"")</f>
        <v/>
      </c>
      <c r="H132" s="9"/>
    </row>
    <row r="133" customFormat="false" ht="15" hidden="false" customHeight="false" outlineLevel="0" collapsed="false">
      <c r="A133" s="18" t="s">
        <v>193</v>
      </c>
      <c r="B133" s="18" t="n">
        <v>4</v>
      </c>
      <c r="C133" s="18" t="s">
        <v>314</v>
      </c>
      <c r="D133" s="18"/>
      <c r="E133" s="18"/>
      <c r="F133" s="18"/>
      <c r="G133" s="18" t="str">
        <f aca="false">IF(COUNT(D133:F133)=3,SUM(D133:F133),"")</f>
        <v/>
      </c>
      <c r="H133" s="9"/>
    </row>
    <row r="134" customFormat="false" ht="15" hidden="false" customHeight="false" outlineLevel="0" collapsed="false">
      <c r="A134" s="18" t="s">
        <v>197</v>
      </c>
      <c r="B134" s="18" t="n">
        <v>4</v>
      </c>
      <c r="C134" s="18" t="s">
        <v>311</v>
      </c>
      <c r="D134" s="18"/>
      <c r="E134" s="18"/>
      <c r="F134" s="18"/>
      <c r="G134" s="18" t="str">
        <f aca="false">IF(COUNT(D134:F134)=3,SUM(D134:F134),"")</f>
        <v/>
      </c>
      <c r="H134" s="9"/>
    </row>
    <row r="135" customFormat="false" ht="15" hidden="false" customHeight="false" outlineLevel="0" collapsed="false">
      <c r="A135" s="18" t="s">
        <v>197</v>
      </c>
      <c r="B135" s="18" t="n">
        <v>4</v>
      </c>
      <c r="C135" s="18" t="s">
        <v>312</v>
      </c>
      <c r="D135" s="18"/>
      <c r="E135" s="18"/>
      <c r="F135" s="18"/>
      <c r="G135" s="18" t="str">
        <f aca="false">IF(COUNT(D135:F135)=3,SUM(D135:F135),"")</f>
        <v/>
      </c>
      <c r="H135" s="9"/>
    </row>
    <row r="136" customFormat="false" ht="15" hidden="false" customHeight="false" outlineLevel="0" collapsed="false">
      <c r="A136" s="18" t="s">
        <v>197</v>
      </c>
      <c r="B136" s="18" t="n">
        <v>4</v>
      </c>
      <c r="C136" s="18" t="s">
        <v>313</v>
      </c>
      <c r="D136" s="18"/>
      <c r="E136" s="18"/>
      <c r="F136" s="18"/>
      <c r="G136" s="18" t="str">
        <f aca="false">IF(COUNT(D136:F136)=3,SUM(D136:F136),"")</f>
        <v/>
      </c>
      <c r="H136" s="9"/>
    </row>
    <row r="137" customFormat="false" ht="15" hidden="false" customHeight="false" outlineLevel="0" collapsed="false">
      <c r="A137" s="18" t="s">
        <v>197</v>
      </c>
      <c r="B137" s="18" t="n">
        <v>4</v>
      </c>
      <c r="C137" s="18" t="s">
        <v>314</v>
      </c>
      <c r="D137" s="18"/>
      <c r="E137" s="18"/>
      <c r="F137" s="18"/>
      <c r="G137" s="18" t="str">
        <f aca="false">IF(COUNT(D137:F137)=3,SUM(D137:F137),"")</f>
        <v/>
      </c>
      <c r="H137" s="9"/>
    </row>
    <row r="138" customFormat="false" ht="15" hidden="false" customHeight="false" outlineLevel="0" collapsed="false">
      <c r="A138" s="18" t="s">
        <v>201</v>
      </c>
      <c r="B138" s="18" t="n">
        <v>4</v>
      </c>
      <c r="C138" s="18" t="s">
        <v>311</v>
      </c>
      <c r="D138" s="18"/>
      <c r="E138" s="18"/>
      <c r="F138" s="18"/>
      <c r="G138" s="18" t="str">
        <f aca="false">IF(COUNT(D138:F138)=3,SUM(D138:F138),"")</f>
        <v/>
      </c>
      <c r="H138" s="9"/>
    </row>
    <row r="139" customFormat="false" ht="15" hidden="false" customHeight="false" outlineLevel="0" collapsed="false">
      <c r="A139" s="18" t="s">
        <v>201</v>
      </c>
      <c r="B139" s="18" t="n">
        <v>4</v>
      </c>
      <c r="C139" s="18" t="s">
        <v>312</v>
      </c>
      <c r="D139" s="18"/>
      <c r="E139" s="18"/>
      <c r="F139" s="18"/>
      <c r="G139" s="18" t="str">
        <f aca="false">IF(COUNT(D139:F139)=3,SUM(D139:F139),"")</f>
        <v/>
      </c>
      <c r="H139" s="9"/>
    </row>
    <row r="140" customFormat="false" ht="15" hidden="false" customHeight="false" outlineLevel="0" collapsed="false">
      <c r="A140" s="18" t="s">
        <v>201</v>
      </c>
      <c r="B140" s="18" t="n">
        <v>4</v>
      </c>
      <c r="C140" s="18" t="s">
        <v>313</v>
      </c>
      <c r="D140" s="18"/>
      <c r="E140" s="18"/>
      <c r="F140" s="18"/>
      <c r="G140" s="18" t="str">
        <f aca="false">IF(COUNT(D140:F140)=3,SUM(D140:F140),"")</f>
        <v/>
      </c>
      <c r="H140" s="9"/>
    </row>
    <row r="141" customFormat="false" ht="15" hidden="false" customHeight="false" outlineLevel="0" collapsed="false">
      <c r="A141" s="18" t="s">
        <v>201</v>
      </c>
      <c r="B141" s="18" t="n">
        <v>4</v>
      </c>
      <c r="C141" s="18" t="s">
        <v>314</v>
      </c>
      <c r="D141" s="18"/>
      <c r="E141" s="18"/>
      <c r="F141" s="18"/>
      <c r="G141" s="18" t="str">
        <f aca="false">IF(COUNT(D141:F141)=3,SUM(D141:F141),"")</f>
        <v/>
      </c>
      <c r="H141" s="9"/>
    </row>
    <row r="142" customFormat="false" ht="15" hidden="false" customHeight="false" outlineLevel="0" collapsed="false">
      <c r="A142" s="18" t="s">
        <v>205</v>
      </c>
      <c r="B142" s="18" t="n">
        <v>4</v>
      </c>
      <c r="C142" s="18" t="s">
        <v>311</v>
      </c>
      <c r="D142" s="18"/>
      <c r="E142" s="18"/>
      <c r="F142" s="18"/>
      <c r="G142" s="18" t="str">
        <f aca="false">IF(COUNT(D142:F142)=3,SUM(D142:F142),"")</f>
        <v/>
      </c>
      <c r="H142" s="9"/>
    </row>
    <row r="143" customFormat="false" ht="15" hidden="false" customHeight="false" outlineLevel="0" collapsed="false">
      <c r="A143" s="18" t="s">
        <v>205</v>
      </c>
      <c r="B143" s="18" t="n">
        <v>4</v>
      </c>
      <c r="C143" s="18" t="s">
        <v>312</v>
      </c>
      <c r="D143" s="18"/>
      <c r="E143" s="18"/>
      <c r="F143" s="18"/>
      <c r="G143" s="18" t="str">
        <f aca="false">IF(COUNT(D143:F143)=3,SUM(D143:F143),"")</f>
        <v/>
      </c>
      <c r="H143" s="9"/>
    </row>
    <row r="144" customFormat="false" ht="15" hidden="false" customHeight="false" outlineLevel="0" collapsed="false">
      <c r="A144" s="18" t="s">
        <v>205</v>
      </c>
      <c r="B144" s="18" t="n">
        <v>4</v>
      </c>
      <c r="C144" s="18" t="s">
        <v>313</v>
      </c>
      <c r="D144" s="18"/>
      <c r="E144" s="18"/>
      <c r="F144" s="18"/>
      <c r="G144" s="18" t="str">
        <f aca="false">IF(COUNT(D144:F144)=3,SUM(D144:F144),"")</f>
        <v/>
      </c>
      <c r="H144" s="9"/>
    </row>
    <row r="145" customFormat="false" ht="15" hidden="false" customHeight="false" outlineLevel="0" collapsed="false">
      <c r="A145" s="18" t="s">
        <v>205</v>
      </c>
      <c r="B145" s="18" t="n">
        <v>4</v>
      </c>
      <c r="C145" s="18" t="s">
        <v>314</v>
      </c>
      <c r="D145" s="18"/>
      <c r="E145" s="18"/>
      <c r="F145" s="18"/>
      <c r="G145" s="18" t="str">
        <f aca="false">IF(COUNT(D145:F145)=3,SUM(D145:F145),"")</f>
        <v/>
      </c>
      <c r="H145" s="9"/>
    </row>
    <row r="146" customFormat="false" ht="15" hidden="false" customHeight="false" outlineLevel="0" collapsed="false">
      <c r="A146" s="18" t="s">
        <v>209</v>
      </c>
      <c r="B146" s="18" t="n">
        <v>4</v>
      </c>
      <c r="C146" s="18" t="s">
        <v>311</v>
      </c>
      <c r="D146" s="18"/>
      <c r="E146" s="18"/>
      <c r="F146" s="18"/>
      <c r="G146" s="18" t="str">
        <f aca="false">IF(COUNT(D146:F146)=3,SUM(D146:F146),"")</f>
        <v/>
      </c>
      <c r="H146" s="9"/>
    </row>
    <row r="147" customFormat="false" ht="15" hidden="false" customHeight="false" outlineLevel="0" collapsed="false">
      <c r="A147" s="18" t="s">
        <v>209</v>
      </c>
      <c r="B147" s="18" t="n">
        <v>4</v>
      </c>
      <c r="C147" s="18" t="s">
        <v>312</v>
      </c>
      <c r="D147" s="18"/>
      <c r="E147" s="18"/>
      <c r="F147" s="18"/>
      <c r="G147" s="18" t="str">
        <f aca="false">IF(COUNT(D147:F147)=3,SUM(D147:F147),"")</f>
        <v/>
      </c>
      <c r="H147" s="9"/>
    </row>
    <row r="148" customFormat="false" ht="15" hidden="false" customHeight="false" outlineLevel="0" collapsed="false">
      <c r="A148" s="18" t="s">
        <v>209</v>
      </c>
      <c r="B148" s="18" t="n">
        <v>4</v>
      </c>
      <c r="C148" s="18" t="s">
        <v>313</v>
      </c>
      <c r="D148" s="18"/>
      <c r="E148" s="18"/>
      <c r="F148" s="18"/>
      <c r="G148" s="18" t="str">
        <f aca="false">IF(COUNT(D148:F148)=3,SUM(D148:F148),"")</f>
        <v/>
      </c>
      <c r="H148" s="9"/>
    </row>
    <row r="149" customFormat="false" ht="15" hidden="false" customHeight="false" outlineLevel="0" collapsed="false">
      <c r="A149" s="18" t="s">
        <v>209</v>
      </c>
      <c r="B149" s="18" t="n">
        <v>4</v>
      </c>
      <c r="C149" s="18" t="s">
        <v>314</v>
      </c>
      <c r="D149" s="18"/>
      <c r="E149" s="18"/>
      <c r="F149" s="18"/>
      <c r="G149" s="18" t="str">
        <f aca="false">IF(COUNT(D149:F149)=3,SUM(D149:F149),"")</f>
        <v/>
      </c>
      <c r="H149" s="9"/>
    </row>
    <row r="150" customFormat="false" ht="15" hidden="false" customHeight="false" outlineLevel="0" collapsed="false">
      <c r="A150" s="18" t="s">
        <v>213</v>
      </c>
      <c r="B150" s="18" t="n">
        <v>4</v>
      </c>
      <c r="C150" s="18" t="s">
        <v>311</v>
      </c>
      <c r="D150" s="18"/>
      <c r="E150" s="18"/>
      <c r="F150" s="18"/>
      <c r="G150" s="18" t="str">
        <f aca="false">IF(COUNT(D150:F150)=3,SUM(D150:F150),"")</f>
        <v/>
      </c>
      <c r="H150" s="9"/>
    </row>
    <row r="151" customFormat="false" ht="15" hidden="false" customHeight="false" outlineLevel="0" collapsed="false">
      <c r="A151" s="18" t="s">
        <v>213</v>
      </c>
      <c r="B151" s="18" t="n">
        <v>4</v>
      </c>
      <c r="C151" s="18" t="s">
        <v>312</v>
      </c>
      <c r="D151" s="18"/>
      <c r="E151" s="18"/>
      <c r="F151" s="18"/>
      <c r="G151" s="18" t="str">
        <f aca="false">IF(COUNT(D151:F151)=3,SUM(D151:F151),"")</f>
        <v/>
      </c>
      <c r="H151" s="9"/>
    </row>
    <row r="152" customFormat="false" ht="15" hidden="false" customHeight="false" outlineLevel="0" collapsed="false">
      <c r="A152" s="18" t="s">
        <v>213</v>
      </c>
      <c r="B152" s="18" t="n">
        <v>4</v>
      </c>
      <c r="C152" s="18" t="s">
        <v>313</v>
      </c>
      <c r="D152" s="18"/>
      <c r="E152" s="18"/>
      <c r="F152" s="18"/>
      <c r="G152" s="18" t="str">
        <f aca="false">IF(COUNT(D152:F152)=3,SUM(D152:F152),"")</f>
        <v/>
      </c>
      <c r="H152" s="9"/>
    </row>
    <row r="153" customFormat="false" ht="15" hidden="false" customHeight="false" outlineLevel="0" collapsed="false">
      <c r="A153" s="18" t="s">
        <v>213</v>
      </c>
      <c r="B153" s="18" t="n">
        <v>4</v>
      </c>
      <c r="C153" s="18" t="s">
        <v>314</v>
      </c>
      <c r="D153" s="18"/>
      <c r="E153" s="18"/>
      <c r="F153" s="18"/>
      <c r="G153" s="18" t="str">
        <f aca="false">IF(COUNT(D153:F153)=3,SUM(D153:F153),"")</f>
        <v/>
      </c>
      <c r="H153" s="9"/>
    </row>
    <row r="154" customFormat="false" ht="15" hidden="false" customHeight="false" outlineLevel="0" collapsed="false">
      <c r="A154" s="18" t="s">
        <v>217</v>
      </c>
      <c r="B154" s="18" t="n">
        <v>4</v>
      </c>
      <c r="C154" s="18" t="s">
        <v>311</v>
      </c>
      <c r="D154" s="18"/>
      <c r="E154" s="18"/>
      <c r="F154" s="18"/>
      <c r="G154" s="18" t="str">
        <f aca="false">IF(COUNT(D154:F154)=3,SUM(D154:F154),"")</f>
        <v/>
      </c>
      <c r="H154" s="9"/>
    </row>
    <row r="155" customFormat="false" ht="15" hidden="false" customHeight="false" outlineLevel="0" collapsed="false">
      <c r="A155" s="18" t="s">
        <v>217</v>
      </c>
      <c r="B155" s="18" t="n">
        <v>4</v>
      </c>
      <c r="C155" s="18" t="s">
        <v>312</v>
      </c>
      <c r="D155" s="18"/>
      <c r="E155" s="18"/>
      <c r="F155" s="18"/>
      <c r="G155" s="18" t="str">
        <f aca="false">IF(COUNT(D155:F155)=3,SUM(D155:F155),"")</f>
        <v/>
      </c>
      <c r="H155" s="9"/>
    </row>
    <row r="156" customFormat="false" ht="15" hidden="false" customHeight="false" outlineLevel="0" collapsed="false">
      <c r="A156" s="18" t="s">
        <v>217</v>
      </c>
      <c r="B156" s="18" t="n">
        <v>4</v>
      </c>
      <c r="C156" s="18" t="s">
        <v>313</v>
      </c>
      <c r="D156" s="18"/>
      <c r="E156" s="18"/>
      <c r="F156" s="18"/>
      <c r="G156" s="18" t="str">
        <f aca="false">IF(COUNT(D156:F156)=3,SUM(D156:F156),"")</f>
        <v/>
      </c>
      <c r="H156" s="9"/>
    </row>
    <row r="157" customFormat="false" ht="15" hidden="false" customHeight="false" outlineLevel="0" collapsed="false">
      <c r="A157" s="18" t="s">
        <v>217</v>
      </c>
      <c r="B157" s="18" t="n">
        <v>4</v>
      </c>
      <c r="C157" s="18" t="s">
        <v>314</v>
      </c>
      <c r="D157" s="18"/>
      <c r="E157" s="18"/>
      <c r="F157" s="18"/>
      <c r="G157" s="18" t="str">
        <f aca="false">IF(COUNT(D157:F157)=3,SUM(D157:F157),"")</f>
        <v/>
      </c>
      <c r="H157" s="9"/>
    </row>
    <row r="158" customFormat="false" ht="15" hidden="false" customHeight="false" outlineLevel="0" collapsed="false">
      <c r="A158" s="18" t="s">
        <v>221</v>
      </c>
      <c r="B158" s="18" t="n">
        <v>4</v>
      </c>
      <c r="C158" s="18" t="s">
        <v>311</v>
      </c>
      <c r="D158" s="18"/>
      <c r="E158" s="18"/>
      <c r="F158" s="18"/>
      <c r="G158" s="18" t="str">
        <f aca="false">IF(COUNT(D158:F158)=3,SUM(D158:F158),"")</f>
        <v/>
      </c>
      <c r="H158" s="9"/>
    </row>
    <row r="159" customFormat="false" ht="15" hidden="false" customHeight="false" outlineLevel="0" collapsed="false">
      <c r="A159" s="18" t="s">
        <v>221</v>
      </c>
      <c r="B159" s="18" t="n">
        <v>4</v>
      </c>
      <c r="C159" s="18" t="s">
        <v>312</v>
      </c>
      <c r="D159" s="18"/>
      <c r="E159" s="18"/>
      <c r="F159" s="18"/>
      <c r="G159" s="18" t="str">
        <f aca="false">IF(COUNT(D159:F159)=3,SUM(D159:F159),"")</f>
        <v/>
      </c>
      <c r="H159" s="9"/>
    </row>
    <row r="160" customFormat="false" ht="15" hidden="false" customHeight="false" outlineLevel="0" collapsed="false">
      <c r="A160" s="18" t="s">
        <v>221</v>
      </c>
      <c r="B160" s="18" t="n">
        <v>4</v>
      </c>
      <c r="C160" s="18" t="s">
        <v>313</v>
      </c>
      <c r="D160" s="18"/>
      <c r="E160" s="18"/>
      <c r="F160" s="18"/>
      <c r="G160" s="18" t="str">
        <f aca="false">IF(COUNT(D160:F160)=3,SUM(D160:F160),"")</f>
        <v/>
      </c>
      <c r="H160" s="9"/>
    </row>
    <row r="161" customFormat="false" ht="15" hidden="false" customHeight="false" outlineLevel="0" collapsed="false">
      <c r="A161" s="18" t="s">
        <v>221</v>
      </c>
      <c r="B161" s="18" t="n">
        <v>4</v>
      </c>
      <c r="C161" s="18" t="s">
        <v>314</v>
      </c>
      <c r="D161" s="18"/>
      <c r="E161" s="18"/>
      <c r="F161" s="18"/>
      <c r="G161" s="18" t="str">
        <f aca="false">IF(COUNT(D161:F161)=3,SUM(D161:F161),"")</f>
        <v/>
      </c>
      <c r="H161" s="9"/>
    </row>
    <row r="162" customFormat="false" ht="15" hidden="false" customHeight="false" outlineLevel="0" collapsed="false">
      <c r="A162" s="18" t="s">
        <v>225</v>
      </c>
      <c r="B162" s="18" t="n">
        <v>5</v>
      </c>
      <c r="C162" s="18" t="s">
        <v>311</v>
      </c>
      <c r="D162" s="18"/>
      <c r="E162" s="18"/>
      <c r="F162" s="18"/>
      <c r="G162" s="18" t="str">
        <f aca="false">IF(COUNT(D162:F162)=3,SUM(D162:F162),"")</f>
        <v/>
      </c>
      <c r="H162" s="9"/>
    </row>
    <row r="163" customFormat="false" ht="15" hidden="false" customHeight="false" outlineLevel="0" collapsed="false">
      <c r="A163" s="18" t="s">
        <v>225</v>
      </c>
      <c r="B163" s="18" t="n">
        <v>5</v>
      </c>
      <c r="C163" s="18" t="s">
        <v>312</v>
      </c>
      <c r="D163" s="18"/>
      <c r="E163" s="18"/>
      <c r="F163" s="18"/>
      <c r="G163" s="18" t="str">
        <f aca="false">IF(COUNT(D163:F163)=3,SUM(D163:F163),"")</f>
        <v/>
      </c>
      <c r="H163" s="9"/>
    </row>
    <row r="164" customFormat="false" ht="15" hidden="false" customHeight="false" outlineLevel="0" collapsed="false">
      <c r="A164" s="18" t="s">
        <v>225</v>
      </c>
      <c r="B164" s="18" t="n">
        <v>5</v>
      </c>
      <c r="C164" s="18" t="s">
        <v>313</v>
      </c>
      <c r="D164" s="18"/>
      <c r="E164" s="18"/>
      <c r="F164" s="18"/>
      <c r="G164" s="18" t="str">
        <f aca="false">IF(COUNT(D164:F164)=3,SUM(D164:F164),"")</f>
        <v/>
      </c>
      <c r="H164" s="9"/>
    </row>
    <row r="165" customFormat="false" ht="15" hidden="false" customHeight="false" outlineLevel="0" collapsed="false">
      <c r="A165" s="18" t="s">
        <v>225</v>
      </c>
      <c r="B165" s="18" t="n">
        <v>5</v>
      </c>
      <c r="C165" s="18" t="s">
        <v>314</v>
      </c>
      <c r="D165" s="18"/>
      <c r="E165" s="18"/>
      <c r="F165" s="18"/>
      <c r="G165" s="18" t="str">
        <f aca="false">IF(COUNT(D165:F165)=3,SUM(D165:F165),"")</f>
        <v/>
      </c>
      <c r="H165" s="9"/>
    </row>
    <row r="166" customFormat="false" ht="15" hidden="false" customHeight="false" outlineLevel="0" collapsed="false">
      <c r="A166" s="18" t="s">
        <v>231</v>
      </c>
      <c r="B166" s="18" t="n">
        <v>5</v>
      </c>
      <c r="C166" s="18" t="s">
        <v>311</v>
      </c>
      <c r="D166" s="18"/>
      <c r="E166" s="18"/>
      <c r="F166" s="18"/>
      <c r="G166" s="18" t="str">
        <f aca="false">IF(COUNT(D166:F166)=3,SUM(D166:F166),"")</f>
        <v/>
      </c>
      <c r="H166" s="9"/>
    </row>
    <row r="167" customFormat="false" ht="15" hidden="false" customHeight="false" outlineLevel="0" collapsed="false">
      <c r="A167" s="18" t="s">
        <v>231</v>
      </c>
      <c r="B167" s="18" t="n">
        <v>5</v>
      </c>
      <c r="C167" s="18" t="s">
        <v>312</v>
      </c>
      <c r="D167" s="18"/>
      <c r="E167" s="18"/>
      <c r="F167" s="18"/>
      <c r="G167" s="18" t="str">
        <f aca="false">IF(COUNT(D167:F167)=3,SUM(D167:F167),"")</f>
        <v/>
      </c>
      <c r="H167" s="9"/>
    </row>
    <row r="168" customFormat="false" ht="15" hidden="false" customHeight="false" outlineLevel="0" collapsed="false">
      <c r="A168" s="18" t="s">
        <v>231</v>
      </c>
      <c r="B168" s="18" t="n">
        <v>5</v>
      </c>
      <c r="C168" s="18" t="s">
        <v>313</v>
      </c>
      <c r="D168" s="18"/>
      <c r="E168" s="18"/>
      <c r="F168" s="18"/>
      <c r="G168" s="18" t="str">
        <f aca="false">IF(COUNT(D168:F168)=3,SUM(D168:F168),"")</f>
        <v/>
      </c>
      <c r="H168" s="9"/>
    </row>
    <row r="169" customFormat="false" ht="15" hidden="false" customHeight="false" outlineLevel="0" collapsed="false">
      <c r="A169" s="18" t="s">
        <v>231</v>
      </c>
      <c r="B169" s="18" t="n">
        <v>5</v>
      </c>
      <c r="C169" s="18" t="s">
        <v>314</v>
      </c>
      <c r="D169" s="18"/>
      <c r="E169" s="18"/>
      <c r="F169" s="18"/>
      <c r="G169" s="18" t="str">
        <f aca="false">IF(COUNT(D169:F169)=3,SUM(D169:F169),"")</f>
        <v/>
      </c>
      <c r="H169" s="9"/>
    </row>
    <row r="170" customFormat="false" ht="15" hidden="false" customHeight="false" outlineLevel="0" collapsed="false">
      <c r="A170" s="18" t="s">
        <v>236</v>
      </c>
      <c r="B170" s="18" t="n">
        <v>5</v>
      </c>
      <c r="C170" s="18" t="s">
        <v>311</v>
      </c>
      <c r="D170" s="18"/>
      <c r="E170" s="18"/>
      <c r="F170" s="18"/>
      <c r="G170" s="18" t="str">
        <f aca="false">IF(COUNT(D170:F170)=3,SUM(D170:F170),"")</f>
        <v/>
      </c>
      <c r="H170" s="9"/>
    </row>
    <row r="171" customFormat="false" ht="15" hidden="false" customHeight="false" outlineLevel="0" collapsed="false">
      <c r="A171" s="18" t="s">
        <v>236</v>
      </c>
      <c r="B171" s="18" t="n">
        <v>5</v>
      </c>
      <c r="C171" s="18" t="s">
        <v>312</v>
      </c>
      <c r="D171" s="18"/>
      <c r="E171" s="18"/>
      <c r="F171" s="18"/>
      <c r="G171" s="18" t="str">
        <f aca="false">IF(COUNT(D171:F171)=3,SUM(D171:F171),"")</f>
        <v/>
      </c>
      <c r="H171" s="9"/>
    </row>
    <row r="172" customFormat="false" ht="15" hidden="false" customHeight="false" outlineLevel="0" collapsed="false">
      <c r="A172" s="18" t="s">
        <v>236</v>
      </c>
      <c r="B172" s="18" t="n">
        <v>5</v>
      </c>
      <c r="C172" s="18" t="s">
        <v>313</v>
      </c>
      <c r="D172" s="18"/>
      <c r="E172" s="18"/>
      <c r="F172" s="18"/>
      <c r="G172" s="18" t="str">
        <f aca="false">IF(COUNT(D172:F172)=3,SUM(D172:F172),"")</f>
        <v/>
      </c>
      <c r="H172" s="9"/>
    </row>
    <row r="173" customFormat="false" ht="15" hidden="false" customHeight="false" outlineLevel="0" collapsed="false">
      <c r="A173" s="18" t="s">
        <v>236</v>
      </c>
      <c r="B173" s="18" t="n">
        <v>5</v>
      </c>
      <c r="C173" s="18" t="s">
        <v>314</v>
      </c>
      <c r="D173" s="18"/>
      <c r="E173" s="18"/>
      <c r="F173" s="18"/>
      <c r="G173" s="18" t="str">
        <f aca="false">IF(COUNT(D173:F173)=3,SUM(D173:F173),"")</f>
        <v/>
      </c>
      <c r="H173" s="9"/>
    </row>
    <row r="174" customFormat="false" ht="15" hidden="false" customHeight="false" outlineLevel="0" collapsed="false">
      <c r="A174" s="18" t="s">
        <v>241</v>
      </c>
      <c r="B174" s="18" t="n">
        <v>5</v>
      </c>
      <c r="C174" s="18" t="s">
        <v>311</v>
      </c>
      <c r="D174" s="18"/>
      <c r="E174" s="18"/>
      <c r="F174" s="18"/>
      <c r="G174" s="18" t="str">
        <f aca="false">IF(COUNT(D174:F174)=3,SUM(D174:F174),"")</f>
        <v/>
      </c>
      <c r="H174" s="9"/>
    </row>
    <row r="175" customFormat="false" ht="15" hidden="false" customHeight="false" outlineLevel="0" collapsed="false">
      <c r="A175" s="18" t="s">
        <v>241</v>
      </c>
      <c r="B175" s="18" t="n">
        <v>5</v>
      </c>
      <c r="C175" s="18" t="s">
        <v>312</v>
      </c>
      <c r="D175" s="18"/>
      <c r="E175" s="18"/>
      <c r="F175" s="18"/>
      <c r="G175" s="18" t="str">
        <f aca="false">IF(COUNT(D175:F175)=3,SUM(D175:F175),"")</f>
        <v/>
      </c>
      <c r="H175" s="9"/>
    </row>
    <row r="176" customFormat="false" ht="15" hidden="false" customHeight="false" outlineLevel="0" collapsed="false">
      <c r="A176" s="18" t="s">
        <v>241</v>
      </c>
      <c r="B176" s="18" t="n">
        <v>5</v>
      </c>
      <c r="C176" s="18" t="s">
        <v>313</v>
      </c>
      <c r="D176" s="18"/>
      <c r="E176" s="18"/>
      <c r="F176" s="18"/>
      <c r="G176" s="18" t="str">
        <f aca="false">IF(COUNT(D176:F176)=3,SUM(D176:F176),"")</f>
        <v/>
      </c>
      <c r="H176" s="9"/>
    </row>
    <row r="177" customFormat="false" ht="15" hidden="false" customHeight="false" outlineLevel="0" collapsed="false">
      <c r="A177" s="18" t="s">
        <v>241</v>
      </c>
      <c r="B177" s="18" t="n">
        <v>5</v>
      </c>
      <c r="C177" s="18" t="s">
        <v>314</v>
      </c>
      <c r="D177" s="18"/>
      <c r="E177" s="18"/>
      <c r="F177" s="18"/>
      <c r="G177" s="18" t="str">
        <f aca="false">IF(COUNT(D177:F177)=3,SUM(D177:F177),"")</f>
        <v/>
      </c>
      <c r="H177" s="9"/>
    </row>
    <row r="178" customFormat="false" ht="15" hidden="false" customHeight="false" outlineLevel="0" collapsed="false">
      <c r="A178" s="18" t="s">
        <v>246</v>
      </c>
      <c r="B178" s="18" t="n">
        <v>5</v>
      </c>
      <c r="C178" s="18" t="s">
        <v>311</v>
      </c>
      <c r="D178" s="18"/>
      <c r="E178" s="18"/>
      <c r="F178" s="18"/>
      <c r="G178" s="18" t="str">
        <f aca="false">IF(COUNT(D178:F178)=3,SUM(D178:F178),"")</f>
        <v/>
      </c>
      <c r="H178" s="9"/>
    </row>
    <row r="179" customFormat="false" ht="15" hidden="false" customHeight="false" outlineLevel="0" collapsed="false">
      <c r="A179" s="18" t="s">
        <v>246</v>
      </c>
      <c r="B179" s="18" t="n">
        <v>5</v>
      </c>
      <c r="C179" s="18" t="s">
        <v>312</v>
      </c>
      <c r="D179" s="18"/>
      <c r="E179" s="18"/>
      <c r="F179" s="18"/>
      <c r="G179" s="18" t="str">
        <f aca="false">IF(COUNT(D179:F179)=3,SUM(D179:F179),"")</f>
        <v/>
      </c>
      <c r="H179" s="9"/>
    </row>
    <row r="180" customFormat="false" ht="15" hidden="false" customHeight="false" outlineLevel="0" collapsed="false">
      <c r="A180" s="18" t="s">
        <v>246</v>
      </c>
      <c r="B180" s="18" t="n">
        <v>5</v>
      </c>
      <c r="C180" s="18" t="s">
        <v>313</v>
      </c>
      <c r="D180" s="18"/>
      <c r="E180" s="18"/>
      <c r="F180" s="18"/>
      <c r="G180" s="18" t="str">
        <f aca="false">IF(COUNT(D180:F180)=3,SUM(D180:F180),"")</f>
        <v/>
      </c>
      <c r="H180" s="9"/>
    </row>
    <row r="181" customFormat="false" ht="15" hidden="false" customHeight="false" outlineLevel="0" collapsed="false">
      <c r="A181" s="18" t="s">
        <v>246</v>
      </c>
      <c r="B181" s="18" t="n">
        <v>5</v>
      </c>
      <c r="C181" s="18" t="s">
        <v>314</v>
      </c>
      <c r="D181" s="18"/>
      <c r="E181" s="18"/>
      <c r="F181" s="18"/>
      <c r="G181" s="18" t="str">
        <f aca="false">IF(COUNT(D181:F181)=3,SUM(D181:F181),"")</f>
        <v/>
      </c>
      <c r="H181" s="9"/>
    </row>
    <row r="182" customFormat="false" ht="15" hidden="false" customHeight="false" outlineLevel="0" collapsed="false">
      <c r="A182" s="18" t="s">
        <v>250</v>
      </c>
      <c r="B182" s="18" t="n">
        <v>5</v>
      </c>
      <c r="C182" s="18" t="s">
        <v>311</v>
      </c>
      <c r="D182" s="18"/>
      <c r="E182" s="18"/>
      <c r="F182" s="18"/>
      <c r="G182" s="18" t="str">
        <f aca="false">IF(COUNT(D182:F182)=3,SUM(D182:F182),"")</f>
        <v/>
      </c>
      <c r="H182" s="9"/>
    </row>
    <row r="183" customFormat="false" ht="15" hidden="false" customHeight="false" outlineLevel="0" collapsed="false">
      <c r="A183" s="18" t="s">
        <v>250</v>
      </c>
      <c r="B183" s="18" t="n">
        <v>5</v>
      </c>
      <c r="C183" s="18" t="s">
        <v>312</v>
      </c>
      <c r="D183" s="18"/>
      <c r="E183" s="18"/>
      <c r="F183" s="18"/>
      <c r="G183" s="18" t="str">
        <f aca="false">IF(COUNT(D183:F183)=3,SUM(D183:F183),"")</f>
        <v/>
      </c>
      <c r="H183" s="9"/>
    </row>
    <row r="184" customFormat="false" ht="15" hidden="false" customHeight="false" outlineLevel="0" collapsed="false">
      <c r="A184" s="18" t="s">
        <v>250</v>
      </c>
      <c r="B184" s="18" t="n">
        <v>5</v>
      </c>
      <c r="C184" s="18" t="s">
        <v>313</v>
      </c>
      <c r="D184" s="18"/>
      <c r="E184" s="18"/>
      <c r="F184" s="18"/>
      <c r="G184" s="18" t="str">
        <f aca="false">IF(COUNT(D184:F184)=3,SUM(D184:F184),"")</f>
        <v/>
      </c>
      <c r="H184" s="9"/>
    </row>
    <row r="185" customFormat="false" ht="15" hidden="false" customHeight="false" outlineLevel="0" collapsed="false">
      <c r="A185" s="18" t="s">
        <v>250</v>
      </c>
      <c r="B185" s="18" t="n">
        <v>5</v>
      </c>
      <c r="C185" s="18" t="s">
        <v>314</v>
      </c>
      <c r="D185" s="18"/>
      <c r="E185" s="18"/>
      <c r="F185" s="18"/>
      <c r="G185" s="18" t="str">
        <f aca="false">IF(COUNT(D185:F185)=3,SUM(D185:F185),"")</f>
        <v/>
      </c>
      <c r="H185" s="9"/>
    </row>
    <row r="186" customFormat="false" ht="15" hidden="false" customHeight="false" outlineLevel="0" collapsed="false">
      <c r="A186" s="18" t="s">
        <v>255</v>
      </c>
      <c r="B186" s="18" t="n">
        <v>5</v>
      </c>
      <c r="C186" s="18" t="s">
        <v>311</v>
      </c>
      <c r="D186" s="18"/>
      <c r="E186" s="18"/>
      <c r="F186" s="18"/>
      <c r="G186" s="18" t="str">
        <f aca="false">IF(COUNT(D186:F186)=3,SUM(D186:F186),"")</f>
        <v/>
      </c>
      <c r="H186" s="9"/>
    </row>
    <row r="187" customFormat="false" ht="15" hidden="false" customHeight="false" outlineLevel="0" collapsed="false">
      <c r="A187" s="18" t="s">
        <v>255</v>
      </c>
      <c r="B187" s="18" t="n">
        <v>5</v>
      </c>
      <c r="C187" s="18" t="s">
        <v>312</v>
      </c>
      <c r="D187" s="18"/>
      <c r="E187" s="18"/>
      <c r="F187" s="18"/>
      <c r="G187" s="18" t="str">
        <f aca="false">IF(COUNT(D187:F187)=3,SUM(D187:F187),"")</f>
        <v/>
      </c>
      <c r="H187" s="9"/>
    </row>
    <row r="188" customFormat="false" ht="15" hidden="false" customHeight="false" outlineLevel="0" collapsed="false">
      <c r="A188" s="18" t="s">
        <v>255</v>
      </c>
      <c r="B188" s="18" t="n">
        <v>5</v>
      </c>
      <c r="C188" s="18" t="s">
        <v>313</v>
      </c>
      <c r="D188" s="18"/>
      <c r="E188" s="18"/>
      <c r="F188" s="18"/>
      <c r="G188" s="18" t="str">
        <f aca="false">IF(COUNT(D188:F188)=3,SUM(D188:F188),"")</f>
        <v/>
      </c>
      <c r="H188" s="9"/>
    </row>
    <row r="189" customFormat="false" ht="15" hidden="false" customHeight="false" outlineLevel="0" collapsed="false">
      <c r="A189" s="18" t="s">
        <v>255</v>
      </c>
      <c r="B189" s="18" t="n">
        <v>5</v>
      </c>
      <c r="C189" s="18" t="s">
        <v>314</v>
      </c>
      <c r="D189" s="18"/>
      <c r="E189" s="18"/>
      <c r="F189" s="18"/>
      <c r="G189" s="18" t="str">
        <f aca="false">IF(COUNT(D189:F189)=3,SUM(D189:F189),"")</f>
        <v/>
      </c>
      <c r="H189" s="9"/>
    </row>
    <row r="190" customFormat="false" ht="15" hidden="false" customHeight="false" outlineLevel="0" collapsed="false">
      <c r="A190" s="18" t="s">
        <v>259</v>
      </c>
      <c r="B190" s="18" t="n">
        <v>5</v>
      </c>
      <c r="C190" s="18" t="s">
        <v>311</v>
      </c>
      <c r="D190" s="18"/>
      <c r="E190" s="18"/>
      <c r="F190" s="18"/>
      <c r="G190" s="18" t="str">
        <f aca="false">IF(COUNT(D190:F190)=3,SUM(D190:F190),"")</f>
        <v/>
      </c>
      <c r="H190" s="9"/>
    </row>
    <row r="191" customFormat="false" ht="15" hidden="false" customHeight="false" outlineLevel="0" collapsed="false">
      <c r="A191" s="18" t="s">
        <v>259</v>
      </c>
      <c r="B191" s="18" t="n">
        <v>5</v>
      </c>
      <c r="C191" s="18" t="s">
        <v>312</v>
      </c>
      <c r="D191" s="18"/>
      <c r="E191" s="18"/>
      <c r="F191" s="18"/>
      <c r="G191" s="18" t="str">
        <f aca="false">IF(COUNT(D191:F191)=3,SUM(D191:F191),"")</f>
        <v/>
      </c>
      <c r="H191" s="9"/>
    </row>
    <row r="192" customFormat="false" ht="15" hidden="false" customHeight="false" outlineLevel="0" collapsed="false">
      <c r="A192" s="18" t="s">
        <v>259</v>
      </c>
      <c r="B192" s="18" t="n">
        <v>5</v>
      </c>
      <c r="C192" s="18" t="s">
        <v>313</v>
      </c>
      <c r="D192" s="18"/>
      <c r="E192" s="18"/>
      <c r="F192" s="18"/>
      <c r="G192" s="18" t="str">
        <f aca="false">IF(COUNT(D192:F192)=3,SUM(D192:F192),"")</f>
        <v/>
      </c>
      <c r="H192" s="9"/>
    </row>
    <row r="193" customFormat="false" ht="15" hidden="false" customHeight="false" outlineLevel="0" collapsed="false">
      <c r="A193" s="18" t="s">
        <v>259</v>
      </c>
      <c r="B193" s="18" t="n">
        <v>5</v>
      </c>
      <c r="C193" s="18" t="s">
        <v>314</v>
      </c>
      <c r="D193" s="18"/>
      <c r="E193" s="18"/>
      <c r="F193" s="18"/>
      <c r="G193" s="18" t="str">
        <f aca="false">IF(COUNT(D193:F193)=3,SUM(D193:F193),"")</f>
        <v/>
      </c>
      <c r="H193" s="9"/>
    </row>
    <row r="194" customFormat="false" ht="15" hidden="false" customHeight="false" outlineLevel="0" collapsed="false">
      <c r="A194" s="18" t="s">
        <v>264</v>
      </c>
      <c r="B194" s="18" t="n">
        <v>5</v>
      </c>
      <c r="C194" s="18" t="s">
        <v>311</v>
      </c>
      <c r="D194" s="18"/>
      <c r="E194" s="18"/>
      <c r="F194" s="18"/>
      <c r="G194" s="18" t="str">
        <f aca="false">IF(COUNT(D194:F194)=3,SUM(D194:F194),"")</f>
        <v/>
      </c>
      <c r="H194" s="9"/>
    </row>
    <row r="195" customFormat="false" ht="15" hidden="false" customHeight="false" outlineLevel="0" collapsed="false">
      <c r="A195" s="18" t="s">
        <v>264</v>
      </c>
      <c r="B195" s="18" t="n">
        <v>5</v>
      </c>
      <c r="C195" s="18" t="s">
        <v>312</v>
      </c>
      <c r="D195" s="18"/>
      <c r="E195" s="18"/>
      <c r="F195" s="18"/>
      <c r="G195" s="18" t="str">
        <f aca="false">IF(COUNT(D195:F195)=3,SUM(D195:F195),"")</f>
        <v/>
      </c>
      <c r="H195" s="9"/>
    </row>
    <row r="196" customFormat="false" ht="15" hidden="false" customHeight="false" outlineLevel="0" collapsed="false">
      <c r="A196" s="18" t="s">
        <v>264</v>
      </c>
      <c r="B196" s="18" t="n">
        <v>5</v>
      </c>
      <c r="C196" s="18" t="s">
        <v>313</v>
      </c>
      <c r="D196" s="18"/>
      <c r="E196" s="18"/>
      <c r="F196" s="18"/>
      <c r="G196" s="18" t="str">
        <f aca="false">IF(COUNT(D196:F196)=3,SUM(D196:F196),"")</f>
        <v/>
      </c>
      <c r="H196" s="9"/>
    </row>
    <row r="197" customFormat="false" ht="15" hidden="false" customHeight="false" outlineLevel="0" collapsed="false">
      <c r="A197" s="18" t="s">
        <v>264</v>
      </c>
      <c r="B197" s="18" t="n">
        <v>5</v>
      </c>
      <c r="C197" s="18" t="s">
        <v>314</v>
      </c>
      <c r="D197" s="18"/>
      <c r="E197" s="18"/>
      <c r="F197" s="18"/>
      <c r="G197" s="18" t="str">
        <f aca="false">IF(COUNT(D197:F197)=3,SUM(D197:F197),"")</f>
        <v/>
      </c>
      <c r="H197" s="9"/>
    </row>
    <row r="198" customFormat="false" ht="15" hidden="false" customHeight="false" outlineLevel="0" collapsed="false">
      <c r="A198" s="18" t="s">
        <v>269</v>
      </c>
      <c r="B198" s="18" t="n">
        <v>5</v>
      </c>
      <c r="C198" s="18" t="s">
        <v>311</v>
      </c>
      <c r="D198" s="18"/>
      <c r="E198" s="18"/>
      <c r="F198" s="18"/>
      <c r="G198" s="18" t="str">
        <f aca="false">IF(COUNT(D198:F198)=3,SUM(D198:F198),"")</f>
        <v/>
      </c>
      <c r="H198" s="9"/>
    </row>
    <row r="199" customFormat="false" ht="15" hidden="false" customHeight="false" outlineLevel="0" collapsed="false">
      <c r="A199" s="18" t="s">
        <v>269</v>
      </c>
      <c r="B199" s="18" t="n">
        <v>5</v>
      </c>
      <c r="C199" s="18" t="s">
        <v>312</v>
      </c>
      <c r="D199" s="18"/>
      <c r="E199" s="18"/>
      <c r="F199" s="18"/>
      <c r="G199" s="18" t="str">
        <f aca="false">IF(COUNT(D199:F199)=3,SUM(D199:F199),"")</f>
        <v/>
      </c>
      <c r="H199" s="9"/>
    </row>
    <row r="200" customFormat="false" ht="15" hidden="false" customHeight="false" outlineLevel="0" collapsed="false">
      <c r="A200" s="18" t="s">
        <v>269</v>
      </c>
      <c r="B200" s="18" t="n">
        <v>5</v>
      </c>
      <c r="C200" s="18" t="s">
        <v>313</v>
      </c>
      <c r="D200" s="18"/>
      <c r="E200" s="18"/>
      <c r="F200" s="18"/>
      <c r="G200" s="18" t="str">
        <f aca="false">IF(COUNT(D200:F200)=3,SUM(D200:F200),"")</f>
        <v/>
      </c>
      <c r="H200" s="9"/>
    </row>
    <row r="201" customFormat="false" ht="15" hidden="false" customHeight="false" outlineLevel="0" collapsed="false">
      <c r="A201" s="18" t="s">
        <v>269</v>
      </c>
      <c r="B201" s="18" t="n">
        <v>5</v>
      </c>
      <c r="C201" s="18" t="s">
        <v>314</v>
      </c>
      <c r="D201" s="18"/>
      <c r="E201" s="18"/>
      <c r="F201" s="18"/>
      <c r="G201" s="18" t="str">
        <f aca="false">IF(COUNT(D201:F201)=3,SUM(D201:F201),"")</f>
        <v/>
      </c>
      <c r="H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5" min="4" style="0" width="15"/>
    <col collapsed="false" customWidth="true" hidden="false" outlineLevel="0" max="6" min="6" style="0" width="18"/>
    <col collapsed="false" customWidth="true" hidden="false" outlineLevel="0" max="7" min="7" style="0" width="11"/>
    <col collapsed="false" customWidth="true" hidden="false" outlineLevel="0" max="8" min="8" style="0" width="46"/>
  </cols>
  <sheetData>
    <row r="1" customFormat="false" ht="30" hidden="false" customHeight="true" outlineLevel="0" collapsed="false">
      <c r="A1" s="6" t="s">
        <v>46</v>
      </c>
      <c r="B1" s="6" t="s">
        <v>47</v>
      </c>
      <c r="C1" s="6" t="s">
        <v>308</v>
      </c>
      <c r="D1" s="6" t="s">
        <v>315</v>
      </c>
      <c r="E1" s="6" t="s">
        <v>316</v>
      </c>
      <c r="F1" s="6" t="s">
        <v>317</v>
      </c>
      <c r="G1" s="6" t="s">
        <v>318</v>
      </c>
      <c r="H1" s="6" t="s">
        <v>319</v>
      </c>
    </row>
    <row r="2" customFormat="false" ht="15" hidden="false" customHeight="false" outlineLevel="0" collapsed="false">
      <c r="A2" s="18" t="s">
        <v>55</v>
      </c>
      <c r="B2" s="18" t="n">
        <v>1</v>
      </c>
      <c r="C2" s="18" t="s">
        <v>311</v>
      </c>
      <c r="D2" s="18"/>
      <c r="E2" s="18"/>
      <c r="F2" s="18"/>
      <c r="G2" s="18" t="str">
        <f aca="false">IF(COUNT(D2:F2)=3,SUM(D2:F2),"")</f>
        <v/>
      </c>
      <c r="H2" s="9"/>
    </row>
    <row r="3" customFormat="false" ht="15" hidden="false" customHeight="false" outlineLevel="0" collapsed="false">
      <c r="A3" s="18" t="s">
        <v>55</v>
      </c>
      <c r="B3" s="18" t="n">
        <v>1</v>
      </c>
      <c r="C3" s="18" t="s">
        <v>312</v>
      </c>
      <c r="D3" s="18"/>
      <c r="E3" s="18"/>
      <c r="F3" s="18"/>
      <c r="G3" s="18" t="str">
        <f aca="false">IF(COUNT(D3:F3)=3,SUM(D3:F3),"")</f>
        <v/>
      </c>
      <c r="H3" s="9"/>
    </row>
    <row r="4" customFormat="false" ht="15" hidden="false" customHeight="false" outlineLevel="0" collapsed="false">
      <c r="A4" s="18" t="s">
        <v>55</v>
      </c>
      <c r="B4" s="18" t="n">
        <v>1</v>
      </c>
      <c r="C4" s="18" t="s">
        <v>313</v>
      </c>
      <c r="D4" s="18"/>
      <c r="E4" s="18"/>
      <c r="F4" s="18"/>
      <c r="G4" s="18" t="str">
        <f aca="false">IF(COUNT(D4:F4)=3,SUM(D4:F4),"")</f>
        <v/>
      </c>
      <c r="H4" s="9"/>
    </row>
    <row r="5" customFormat="false" ht="15" hidden="false" customHeight="false" outlineLevel="0" collapsed="false">
      <c r="A5" s="18" t="s">
        <v>55</v>
      </c>
      <c r="B5" s="18" t="n">
        <v>1</v>
      </c>
      <c r="C5" s="18" t="s">
        <v>314</v>
      </c>
      <c r="D5" s="18"/>
      <c r="E5" s="18"/>
      <c r="F5" s="18"/>
      <c r="G5" s="18" t="str">
        <f aca="false">IF(COUNT(D5:F5)=3,SUM(D5:F5),"")</f>
        <v/>
      </c>
      <c r="H5" s="9"/>
    </row>
    <row r="6" customFormat="false" ht="15" hidden="false" customHeight="false" outlineLevel="0" collapsed="false">
      <c r="A6" s="18" t="s">
        <v>63</v>
      </c>
      <c r="B6" s="18" t="n">
        <v>1</v>
      </c>
      <c r="C6" s="18" t="s">
        <v>311</v>
      </c>
      <c r="D6" s="18"/>
      <c r="E6" s="18"/>
      <c r="F6" s="18"/>
      <c r="G6" s="18" t="str">
        <f aca="false">IF(COUNT(D6:F6)=3,SUM(D6:F6),"")</f>
        <v/>
      </c>
      <c r="H6" s="9"/>
    </row>
    <row r="7" customFormat="false" ht="15" hidden="false" customHeight="false" outlineLevel="0" collapsed="false">
      <c r="A7" s="18" t="s">
        <v>63</v>
      </c>
      <c r="B7" s="18" t="n">
        <v>1</v>
      </c>
      <c r="C7" s="18" t="s">
        <v>312</v>
      </c>
      <c r="D7" s="18"/>
      <c r="E7" s="18"/>
      <c r="F7" s="18"/>
      <c r="G7" s="18" t="str">
        <f aca="false">IF(COUNT(D7:F7)=3,SUM(D7:F7),"")</f>
        <v/>
      </c>
      <c r="H7" s="9"/>
    </row>
    <row r="8" customFormat="false" ht="15" hidden="false" customHeight="false" outlineLevel="0" collapsed="false">
      <c r="A8" s="18" t="s">
        <v>63</v>
      </c>
      <c r="B8" s="18" t="n">
        <v>1</v>
      </c>
      <c r="C8" s="18" t="s">
        <v>313</v>
      </c>
      <c r="D8" s="18"/>
      <c r="E8" s="18"/>
      <c r="F8" s="18"/>
      <c r="G8" s="18" t="str">
        <f aca="false">IF(COUNT(D8:F8)=3,SUM(D8:F8),"")</f>
        <v/>
      </c>
      <c r="H8" s="9"/>
    </row>
    <row r="9" customFormat="false" ht="15" hidden="false" customHeight="false" outlineLevel="0" collapsed="false">
      <c r="A9" s="18" t="s">
        <v>63</v>
      </c>
      <c r="B9" s="18" t="n">
        <v>1</v>
      </c>
      <c r="C9" s="18" t="s">
        <v>314</v>
      </c>
      <c r="D9" s="18"/>
      <c r="E9" s="18"/>
      <c r="F9" s="18"/>
      <c r="G9" s="18" t="str">
        <f aca="false">IF(COUNT(D9:F9)=3,SUM(D9:F9),"")</f>
        <v/>
      </c>
      <c r="H9" s="9"/>
    </row>
    <row r="10" customFormat="false" ht="15" hidden="false" customHeight="false" outlineLevel="0" collapsed="false">
      <c r="A10" s="18" t="s">
        <v>67</v>
      </c>
      <c r="B10" s="18" t="n">
        <v>1</v>
      </c>
      <c r="C10" s="18" t="s">
        <v>311</v>
      </c>
      <c r="D10" s="18"/>
      <c r="E10" s="18"/>
      <c r="F10" s="18"/>
      <c r="G10" s="18" t="str">
        <f aca="false">IF(COUNT(D10:F10)=3,SUM(D10:F10),"")</f>
        <v/>
      </c>
      <c r="H10" s="9"/>
    </row>
    <row r="11" customFormat="false" ht="15" hidden="false" customHeight="false" outlineLevel="0" collapsed="false">
      <c r="A11" s="18" t="s">
        <v>67</v>
      </c>
      <c r="B11" s="18" t="n">
        <v>1</v>
      </c>
      <c r="C11" s="18" t="s">
        <v>312</v>
      </c>
      <c r="D11" s="18"/>
      <c r="E11" s="18"/>
      <c r="F11" s="18"/>
      <c r="G11" s="18" t="str">
        <f aca="false">IF(COUNT(D11:F11)=3,SUM(D11:F11),"")</f>
        <v/>
      </c>
      <c r="H11" s="9"/>
    </row>
    <row r="12" customFormat="false" ht="15" hidden="false" customHeight="false" outlineLevel="0" collapsed="false">
      <c r="A12" s="18" t="s">
        <v>67</v>
      </c>
      <c r="B12" s="18" t="n">
        <v>1</v>
      </c>
      <c r="C12" s="18" t="s">
        <v>313</v>
      </c>
      <c r="D12" s="18"/>
      <c r="E12" s="18"/>
      <c r="F12" s="18"/>
      <c r="G12" s="18" t="str">
        <f aca="false">IF(COUNT(D12:F12)=3,SUM(D12:F12),"")</f>
        <v/>
      </c>
      <c r="H12" s="9"/>
    </row>
    <row r="13" customFormat="false" ht="15" hidden="false" customHeight="false" outlineLevel="0" collapsed="false">
      <c r="A13" s="18" t="s">
        <v>67</v>
      </c>
      <c r="B13" s="18" t="n">
        <v>1</v>
      </c>
      <c r="C13" s="18" t="s">
        <v>314</v>
      </c>
      <c r="D13" s="18"/>
      <c r="E13" s="18"/>
      <c r="F13" s="18"/>
      <c r="G13" s="18" t="str">
        <f aca="false">IF(COUNT(D13:F13)=3,SUM(D13:F13),"")</f>
        <v/>
      </c>
      <c r="H13" s="9"/>
    </row>
    <row r="14" customFormat="false" ht="15" hidden="false" customHeight="false" outlineLevel="0" collapsed="false">
      <c r="A14" s="18" t="s">
        <v>73</v>
      </c>
      <c r="B14" s="18" t="n">
        <v>1</v>
      </c>
      <c r="C14" s="18" t="s">
        <v>311</v>
      </c>
      <c r="D14" s="18"/>
      <c r="E14" s="18"/>
      <c r="F14" s="18"/>
      <c r="G14" s="18" t="str">
        <f aca="false">IF(COUNT(D14:F14)=3,SUM(D14:F14),"")</f>
        <v/>
      </c>
      <c r="H14" s="9"/>
    </row>
    <row r="15" customFormat="false" ht="15" hidden="false" customHeight="false" outlineLevel="0" collapsed="false">
      <c r="A15" s="18" t="s">
        <v>73</v>
      </c>
      <c r="B15" s="18" t="n">
        <v>1</v>
      </c>
      <c r="C15" s="18" t="s">
        <v>312</v>
      </c>
      <c r="D15" s="18"/>
      <c r="E15" s="18"/>
      <c r="F15" s="18"/>
      <c r="G15" s="18" t="str">
        <f aca="false">IF(COUNT(D15:F15)=3,SUM(D15:F15),"")</f>
        <v/>
      </c>
      <c r="H15" s="9"/>
    </row>
    <row r="16" customFormat="false" ht="15" hidden="false" customHeight="false" outlineLevel="0" collapsed="false">
      <c r="A16" s="18" t="s">
        <v>73</v>
      </c>
      <c r="B16" s="18" t="n">
        <v>1</v>
      </c>
      <c r="C16" s="18" t="s">
        <v>313</v>
      </c>
      <c r="D16" s="18"/>
      <c r="E16" s="18"/>
      <c r="F16" s="18"/>
      <c r="G16" s="18" t="str">
        <f aca="false">IF(COUNT(D16:F16)=3,SUM(D16:F16),"")</f>
        <v/>
      </c>
      <c r="H16" s="9"/>
    </row>
    <row r="17" customFormat="false" ht="15" hidden="false" customHeight="false" outlineLevel="0" collapsed="false">
      <c r="A17" s="18" t="s">
        <v>73</v>
      </c>
      <c r="B17" s="18" t="n">
        <v>1</v>
      </c>
      <c r="C17" s="18" t="s">
        <v>314</v>
      </c>
      <c r="D17" s="18"/>
      <c r="E17" s="18"/>
      <c r="F17" s="18"/>
      <c r="G17" s="18" t="str">
        <f aca="false">IF(COUNT(D17:F17)=3,SUM(D17:F17),"")</f>
        <v/>
      </c>
      <c r="H17" s="9"/>
    </row>
    <row r="18" customFormat="false" ht="15" hidden="false" customHeight="false" outlineLevel="0" collapsed="false">
      <c r="A18" s="18" t="s">
        <v>77</v>
      </c>
      <c r="B18" s="18" t="n">
        <v>1</v>
      </c>
      <c r="C18" s="18" t="s">
        <v>311</v>
      </c>
      <c r="D18" s="18"/>
      <c r="E18" s="18"/>
      <c r="F18" s="18"/>
      <c r="G18" s="18" t="str">
        <f aca="false">IF(COUNT(D18:F18)=3,SUM(D18:F18),"")</f>
        <v/>
      </c>
      <c r="H18" s="9"/>
    </row>
    <row r="19" customFormat="false" ht="15" hidden="false" customHeight="false" outlineLevel="0" collapsed="false">
      <c r="A19" s="18" t="s">
        <v>77</v>
      </c>
      <c r="B19" s="18" t="n">
        <v>1</v>
      </c>
      <c r="C19" s="18" t="s">
        <v>312</v>
      </c>
      <c r="D19" s="18"/>
      <c r="E19" s="18"/>
      <c r="F19" s="18"/>
      <c r="G19" s="18" t="str">
        <f aca="false">IF(COUNT(D19:F19)=3,SUM(D19:F19),"")</f>
        <v/>
      </c>
      <c r="H19" s="9"/>
    </row>
    <row r="20" customFormat="false" ht="15" hidden="false" customHeight="false" outlineLevel="0" collapsed="false">
      <c r="A20" s="18" t="s">
        <v>77</v>
      </c>
      <c r="B20" s="18" t="n">
        <v>1</v>
      </c>
      <c r="C20" s="18" t="s">
        <v>313</v>
      </c>
      <c r="D20" s="18"/>
      <c r="E20" s="18"/>
      <c r="F20" s="18"/>
      <c r="G20" s="18" t="str">
        <f aca="false">IF(COUNT(D20:F20)=3,SUM(D20:F20),"")</f>
        <v/>
      </c>
      <c r="H20" s="9"/>
    </row>
    <row r="21" customFormat="false" ht="15" hidden="false" customHeight="false" outlineLevel="0" collapsed="false">
      <c r="A21" s="18" t="s">
        <v>77</v>
      </c>
      <c r="B21" s="18" t="n">
        <v>1</v>
      </c>
      <c r="C21" s="18" t="s">
        <v>314</v>
      </c>
      <c r="D21" s="18"/>
      <c r="E21" s="18"/>
      <c r="F21" s="18"/>
      <c r="G21" s="18" t="str">
        <f aca="false">IF(COUNT(D21:F21)=3,SUM(D21:F21),"")</f>
        <v/>
      </c>
      <c r="H21" s="9"/>
    </row>
    <row r="22" customFormat="false" ht="15" hidden="false" customHeight="false" outlineLevel="0" collapsed="false">
      <c r="A22" s="18" t="s">
        <v>81</v>
      </c>
      <c r="B22" s="18" t="n">
        <v>1</v>
      </c>
      <c r="C22" s="18" t="s">
        <v>311</v>
      </c>
      <c r="D22" s="18"/>
      <c r="E22" s="18"/>
      <c r="F22" s="18"/>
      <c r="G22" s="18" t="str">
        <f aca="false">IF(COUNT(D22:F22)=3,SUM(D22:F22),"")</f>
        <v/>
      </c>
      <c r="H22" s="9"/>
    </row>
    <row r="23" customFormat="false" ht="15" hidden="false" customHeight="false" outlineLevel="0" collapsed="false">
      <c r="A23" s="18" t="s">
        <v>81</v>
      </c>
      <c r="B23" s="18" t="n">
        <v>1</v>
      </c>
      <c r="C23" s="18" t="s">
        <v>312</v>
      </c>
      <c r="D23" s="18"/>
      <c r="E23" s="18"/>
      <c r="F23" s="18"/>
      <c r="G23" s="18" t="str">
        <f aca="false">IF(COUNT(D23:F23)=3,SUM(D23:F23),"")</f>
        <v/>
      </c>
      <c r="H23" s="9"/>
    </row>
    <row r="24" customFormat="false" ht="15" hidden="false" customHeight="false" outlineLevel="0" collapsed="false">
      <c r="A24" s="18" t="s">
        <v>81</v>
      </c>
      <c r="B24" s="18" t="n">
        <v>1</v>
      </c>
      <c r="C24" s="18" t="s">
        <v>313</v>
      </c>
      <c r="D24" s="18"/>
      <c r="E24" s="18"/>
      <c r="F24" s="18"/>
      <c r="G24" s="18" t="str">
        <f aca="false">IF(COUNT(D24:F24)=3,SUM(D24:F24),"")</f>
        <v/>
      </c>
      <c r="H24" s="9"/>
    </row>
    <row r="25" customFormat="false" ht="15" hidden="false" customHeight="false" outlineLevel="0" collapsed="false">
      <c r="A25" s="18" t="s">
        <v>81</v>
      </c>
      <c r="B25" s="18" t="n">
        <v>1</v>
      </c>
      <c r="C25" s="18" t="s">
        <v>314</v>
      </c>
      <c r="D25" s="18"/>
      <c r="E25" s="18"/>
      <c r="F25" s="18"/>
      <c r="G25" s="18" t="str">
        <f aca="false">IF(COUNT(D25:F25)=3,SUM(D25:F25),"")</f>
        <v/>
      </c>
      <c r="H25" s="9"/>
    </row>
    <row r="26" customFormat="false" ht="15" hidden="false" customHeight="false" outlineLevel="0" collapsed="false">
      <c r="A26" s="18" t="s">
        <v>85</v>
      </c>
      <c r="B26" s="18" t="n">
        <v>1</v>
      </c>
      <c r="C26" s="18" t="s">
        <v>311</v>
      </c>
      <c r="D26" s="18"/>
      <c r="E26" s="18"/>
      <c r="F26" s="18"/>
      <c r="G26" s="18" t="str">
        <f aca="false">IF(COUNT(D26:F26)=3,SUM(D26:F26),"")</f>
        <v/>
      </c>
      <c r="H26" s="9"/>
    </row>
    <row r="27" customFormat="false" ht="15" hidden="false" customHeight="false" outlineLevel="0" collapsed="false">
      <c r="A27" s="18" t="s">
        <v>85</v>
      </c>
      <c r="B27" s="18" t="n">
        <v>1</v>
      </c>
      <c r="C27" s="18" t="s">
        <v>312</v>
      </c>
      <c r="D27" s="18"/>
      <c r="E27" s="18"/>
      <c r="F27" s="18"/>
      <c r="G27" s="18" t="str">
        <f aca="false">IF(COUNT(D27:F27)=3,SUM(D27:F27),"")</f>
        <v/>
      </c>
      <c r="H27" s="9"/>
    </row>
    <row r="28" customFormat="false" ht="15" hidden="false" customHeight="false" outlineLevel="0" collapsed="false">
      <c r="A28" s="18" t="s">
        <v>85</v>
      </c>
      <c r="B28" s="18" t="n">
        <v>1</v>
      </c>
      <c r="C28" s="18" t="s">
        <v>313</v>
      </c>
      <c r="D28" s="18"/>
      <c r="E28" s="18"/>
      <c r="F28" s="18"/>
      <c r="G28" s="18" t="str">
        <f aca="false">IF(COUNT(D28:F28)=3,SUM(D28:F28),"")</f>
        <v/>
      </c>
      <c r="H28" s="9"/>
    </row>
    <row r="29" customFormat="false" ht="15" hidden="false" customHeight="false" outlineLevel="0" collapsed="false">
      <c r="A29" s="18" t="s">
        <v>85</v>
      </c>
      <c r="B29" s="18" t="n">
        <v>1</v>
      </c>
      <c r="C29" s="18" t="s">
        <v>314</v>
      </c>
      <c r="D29" s="18"/>
      <c r="E29" s="18"/>
      <c r="F29" s="18"/>
      <c r="G29" s="18" t="str">
        <f aca="false">IF(COUNT(D29:F29)=3,SUM(D29:F29),"")</f>
        <v/>
      </c>
      <c r="H29" s="9"/>
    </row>
    <row r="30" customFormat="false" ht="15" hidden="false" customHeight="false" outlineLevel="0" collapsed="false">
      <c r="A30" s="18" t="s">
        <v>89</v>
      </c>
      <c r="B30" s="18" t="n">
        <v>1</v>
      </c>
      <c r="C30" s="18" t="s">
        <v>311</v>
      </c>
      <c r="D30" s="18"/>
      <c r="E30" s="18"/>
      <c r="F30" s="18"/>
      <c r="G30" s="18" t="str">
        <f aca="false">IF(COUNT(D30:F30)=3,SUM(D30:F30),"")</f>
        <v/>
      </c>
      <c r="H30" s="9"/>
    </row>
    <row r="31" customFormat="false" ht="15" hidden="false" customHeight="false" outlineLevel="0" collapsed="false">
      <c r="A31" s="18" t="s">
        <v>89</v>
      </c>
      <c r="B31" s="18" t="n">
        <v>1</v>
      </c>
      <c r="C31" s="18" t="s">
        <v>312</v>
      </c>
      <c r="D31" s="18"/>
      <c r="E31" s="18"/>
      <c r="F31" s="18"/>
      <c r="G31" s="18" t="str">
        <f aca="false">IF(COUNT(D31:F31)=3,SUM(D31:F31),"")</f>
        <v/>
      </c>
      <c r="H31" s="9"/>
    </row>
    <row r="32" customFormat="false" ht="15" hidden="false" customHeight="false" outlineLevel="0" collapsed="false">
      <c r="A32" s="18" t="s">
        <v>89</v>
      </c>
      <c r="B32" s="18" t="n">
        <v>1</v>
      </c>
      <c r="C32" s="18" t="s">
        <v>313</v>
      </c>
      <c r="D32" s="18"/>
      <c r="E32" s="18"/>
      <c r="F32" s="18"/>
      <c r="G32" s="18" t="str">
        <f aca="false">IF(COUNT(D32:F32)=3,SUM(D32:F32),"")</f>
        <v/>
      </c>
      <c r="H32" s="9"/>
    </row>
    <row r="33" customFormat="false" ht="15" hidden="false" customHeight="false" outlineLevel="0" collapsed="false">
      <c r="A33" s="18" t="s">
        <v>89</v>
      </c>
      <c r="B33" s="18" t="n">
        <v>1</v>
      </c>
      <c r="C33" s="18" t="s">
        <v>314</v>
      </c>
      <c r="D33" s="18"/>
      <c r="E33" s="18"/>
      <c r="F33" s="18"/>
      <c r="G33" s="18" t="str">
        <f aca="false">IF(COUNT(D33:F33)=3,SUM(D33:F33),"")</f>
        <v/>
      </c>
      <c r="H33" s="9"/>
    </row>
    <row r="34" customFormat="false" ht="15" hidden="false" customHeight="false" outlineLevel="0" collapsed="false">
      <c r="A34" s="18" t="s">
        <v>93</v>
      </c>
      <c r="B34" s="18" t="n">
        <v>1</v>
      </c>
      <c r="C34" s="18" t="s">
        <v>311</v>
      </c>
      <c r="D34" s="18"/>
      <c r="E34" s="18"/>
      <c r="F34" s="18"/>
      <c r="G34" s="18" t="str">
        <f aca="false">IF(COUNT(D34:F34)=3,SUM(D34:F34),"")</f>
        <v/>
      </c>
      <c r="H34" s="9"/>
    </row>
    <row r="35" customFormat="false" ht="15" hidden="false" customHeight="false" outlineLevel="0" collapsed="false">
      <c r="A35" s="18" t="s">
        <v>93</v>
      </c>
      <c r="B35" s="18" t="n">
        <v>1</v>
      </c>
      <c r="C35" s="18" t="s">
        <v>312</v>
      </c>
      <c r="D35" s="18"/>
      <c r="E35" s="18"/>
      <c r="F35" s="18"/>
      <c r="G35" s="18" t="str">
        <f aca="false">IF(COUNT(D35:F35)=3,SUM(D35:F35),"")</f>
        <v/>
      </c>
      <c r="H35" s="9"/>
    </row>
    <row r="36" customFormat="false" ht="15" hidden="false" customHeight="false" outlineLevel="0" collapsed="false">
      <c r="A36" s="18" t="s">
        <v>93</v>
      </c>
      <c r="B36" s="18" t="n">
        <v>1</v>
      </c>
      <c r="C36" s="18" t="s">
        <v>313</v>
      </c>
      <c r="D36" s="18"/>
      <c r="E36" s="18"/>
      <c r="F36" s="18"/>
      <c r="G36" s="18" t="str">
        <f aca="false">IF(COUNT(D36:F36)=3,SUM(D36:F36),"")</f>
        <v/>
      </c>
      <c r="H36" s="9"/>
    </row>
    <row r="37" customFormat="false" ht="15" hidden="false" customHeight="false" outlineLevel="0" collapsed="false">
      <c r="A37" s="18" t="s">
        <v>93</v>
      </c>
      <c r="B37" s="18" t="n">
        <v>1</v>
      </c>
      <c r="C37" s="18" t="s">
        <v>314</v>
      </c>
      <c r="D37" s="18"/>
      <c r="E37" s="18"/>
      <c r="F37" s="18"/>
      <c r="G37" s="18" t="str">
        <f aca="false">IF(COUNT(D37:F37)=3,SUM(D37:F37),"")</f>
        <v/>
      </c>
      <c r="H37" s="9"/>
    </row>
    <row r="38" customFormat="false" ht="15" hidden="false" customHeight="false" outlineLevel="0" collapsed="false">
      <c r="A38" s="18" t="s">
        <v>98</v>
      </c>
      <c r="B38" s="18" t="n">
        <v>1</v>
      </c>
      <c r="C38" s="18" t="s">
        <v>311</v>
      </c>
      <c r="D38" s="18"/>
      <c r="E38" s="18"/>
      <c r="F38" s="18"/>
      <c r="G38" s="18" t="str">
        <f aca="false">IF(COUNT(D38:F38)=3,SUM(D38:F38),"")</f>
        <v/>
      </c>
      <c r="H38" s="9"/>
    </row>
    <row r="39" customFormat="false" ht="15" hidden="false" customHeight="false" outlineLevel="0" collapsed="false">
      <c r="A39" s="18" t="s">
        <v>98</v>
      </c>
      <c r="B39" s="18" t="n">
        <v>1</v>
      </c>
      <c r="C39" s="18" t="s">
        <v>312</v>
      </c>
      <c r="D39" s="18"/>
      <c r="E39" s="18"/>
      <c r="F39" s="18"/>
      <c r="G39" s="18" t="str">
        <f aca="false">IF(COUNT(D39:F39)=3,SUM(D39:F39),"")</f>
        <v/>
      </c>
      <c r="H39" s="9"/>
    </row>
    <row r="40" customFormat="false" ht="15" hidden="false" customHeight="false" outlineLevel="0" collapsed="false">
      <c r="A40" s="18" t="s">
        <v>98</v>
      </c>
      <c r="B40" s="18" t="n">
        <v>1</v>
      </c>
      <c r="C40" s="18" t="s">
        <v>313</v>
      </c>
      <c r="D40" s="18"/>
      <c r="E40" s="18"/>
      <c r="F40" s="18"/>
      <c r="G40" s="18" t="str">
        <f aca="false">IF(COUNT(D40:F40)=3,SUM(D40:F40),"")</f>
        <v/>
      </c>
      <c r="H40" s="9"/>
    </row>
    <row r="41" customFormat="false" ht="15" hidden="false" customHeight="false" outlineLevel="0" collapsed="false">
      <c r="A41" s="18" t="s">
        <v>98</v>
      </c>
      <c r="B41" s="18" t="n">
        <v>1</v>
      </c>
      <c r="C41" s="18" t="s">
        <v>314</v>
      </c>
      <c r="D41" s="18"/>
      <c r="E41" s="18"/>
      <c r="F41" s="18"/>
      <c r="G41" s="18" t="str">
        <f aca="false">IF(COUNT(D41:F41)=3,SUM(D41:F41),"")</f>
        <v/>
      </c>
      <c r="H41" s="9"/>
    </row>
    <row r="42" customFormat="false" ht="15" hidden="false" customHeight="false" outlineLevel="0" collapsed="false">
      <c r="A42" s="18" t="s">
        <v>102</v>
      </c>
      <c r="B42" s="18" t="n">
        <v>2</v>
      </c>
      <c r="C42" s="18" t="s">
        <v>311</v>
      </c>
      <c r="D42" s="18"/>
      <c r="E42" s="18"/>
      <c r="F42" s="18"/>
      <c r="G42" s="18" t="str">
        <f aca="false">IF(COUNT(D42:F42)=3,SUM(D42:F42),"")</f>
        <v/>
      </c>
      <c r="H42" s="9"/>
    </row>
    <row r="43" customFormat="false" ht="15" hidden="false" customHeight="false" outlineLevel="0" collapsed="false">
      <c r="A43" s="18" t="s">
        <v>102</v>
      </c>
      <c r="B43" s="18" t="n">
        <v>2</v>
      </c>
      <c r="C43" s="18" t="s">
        <v>312</v>
      </c>
      <c r="D43" s="18"/>
      <c r="E43" s="18"/>
      <c r="F43" s="18"/>
      <c r="G43" s="18" t="str">
        <f aca="false">IF(COUNT(D43:F43)=3,SUM(D43:F43),"")</f>
        <v/>
      </c>
      <c r="H43" s="9"/>
    </row>
    <row r="44" customFormat="false" ht="15" hidden="false" customHeight="false" outlineLevel="0" collapsed="false">
      <c r="A44" s="18" t="s">
        <v>102</v>
      </c>
      <c r="B44" s="18" t="n">
        <v>2</v>
      </c>
      <c r="C44" s="18" t="s">
        <v>313</v>
      </c>
      <c r="D44" s="18"/>
      <c r="E44" s="18"/>
      <c r="F44" s="18"/>
      <c r="G44" s="18" t="str">
        <f aca="false">IF(COUNT(D44:F44)=3,SUM(D44:F44),"")</f>
        <v/>
      </c>
      <c r="H44" s="9"/>
    </row>
    <row r="45" customFormat="false" ht="15" hidden="false" customHeight="false" outlineLevel="0" collapsed="false">
      <c r="A45" s="18" t="s">
        <v>102</v>
      </c>
      <c r="B45" s="18" t="n">
        <v>2</v>
      </c>
      <c r="C45" s="18" t="s">
        <v>314</v>
      </c>
      <c r="D45" s="18"/>
      <c r="E45" s="18"/>
      <c r="F45" s="18"/>
      <c r="G45" s="18" t="str">
        <f aca="false">IF(COUNT(D45:F45)=3,SUM(D45:F45),"")</f>
        <v/>
      </c>
      <c r="H45" s="9"/>
    </row>
    <row r="46" customFormat="false" ht="15" hidden="false" customHeight="false" outlineLevel="0" collapsed="false">
      <c r="A46" s="18" t="s">
        <v>107</v>
      </c>
      <c r="B46" s="18" t="n">
        <v>2</v>
      </c>
      <c r="C46" s="18" t="s">
        <v>311</v>
      </c>
      <c r="D46" s="18"/>
      <c r="E46" s="18"/>
      <c r="F46" s="18"/>
      <c r="G46" s="18" t="str">
        <f aca="false">IF(COUNT(D46:F46)=3,SUM(D46:F46),"")</f>
        <v/>
      </c>
      <c r="H46" s="9"/>
    </row>
    <row r="47" customFormat="false" ht="15" hidden="false" customHeight="false" outlineLevel="0" collapsed="false">
      <c r="A47" s="18" t="s">
        <v>107</v>
      </c>
      <c r="B47" s="18" t="n">
        <v>2</v>
      </c>
      <c r="C47" s="18" t="s">
        <v>312</v>
      </c>
      <c r="D47" s="18"/>
      <c r="E47" s="18"/>
      <c r="F47" s="18"/>
      <c r="G47" s="18" t="str">
        <f aca="false">IF(COUNT(D47:F47)=3,SUM(D47:F47),"")</f>
        <v/>
      </c>
      <c r="H47" s="9"/>
    </row>
    <row r="48" customFormat="false" ht="15" hidden="false" customHeight="false" outlineLevel="0" collapsed="false">
      <c r="A48" s="18" t="s">
        <v>107</v>
      </c>
      <c r="B48" s="18" t="n">
        <v>2</v>
      </c>
      <c r="C48" s="18" t="s">
        <v>313</v>
      </c>
      <c r="D48" s="18"/>
      <c r="E48" s="18"/>
      <c r="F48" s="18"/>
      <c r="G48" s="18" t="str">
        <f aca="false">IF(COUNT(D48:F48)=3,SUM(D48:F48),"")</f>
        <v/>
      </c>
      <c r="H48" s="9"/>
    </row>
    <row r="49" customFormat="false" ht="15" hidden="false" customHeight="false" outlineLevel="0" collapsed="false">
      <c r="A49" s="18" t="s">
        <v>107</v>
      </c>
      <c r="B49" s="18" t="n">
        <v>2</v>
      </c>
      <c r="C49" s="18" t="s">
        <v>314</v>
      </c>
      <c r="D49" s="18"/>
      <c r="E49" s="18"/>
      <c r="F49" s="18"/>
      <c r="G49" s="18" t="str">
        <f aca="false">IF(COUNT(D49:F49)=3,SUM(D49:F49),"")</f>
        <v/>
      </c>
      <c r="H49" s="9"/>
    </row>
    <row r="50" customFormat="false" ht="15" hidden="false" customHeight="false" outlineLevel="0" collapsed="false">
      <c r="A50" s="18" t="s">
        <v>111</v>
      </c>
      <c r="B50" s="18" t="n">
        <v>2</v>
      </c>
      <c r="C50" s="18" t="s">
        <v>311</v>
      </c>
      <c r="D50" s="18"/>
      <c r="E50" s="18"/>
      <c r="F50" s="18"/>
      <c r="G50" s="18" t="str">
        <f aca="false">IF(COUNT(D50:F50)=3,SUM(D50:F50),"")</f>
        <v/>
      </c>
      <c r="H50" s="9"/>
    </row>
    <row r="51" customFormat="false" ht="15" hidden="false" customHeight="false" outlineLevel="0" collapsed="false">
      <c r="A51" s="18" t="s">
        <v>111</v>
      </c>
      <c r="B51" s="18" t="n">
        <v>2</v>
      </c>
      <c r="C51" s="18" t="s">
        <v>312</v>
      </c>
      <c r="D51" s="18"/>
      <c r="E51" s="18"/>
      <c r="F51" s="18"/>
      <c r="G51" s="18" t="str">
        <f aca="false">IF(COUNT(D51:F51)=3,SUM(D51:F51),"")</f>
        <v/>
      </c>
      <c r="H51" s="9"/>
    </row>
    <row r="52" customFormat="false" ht="15" hidden="false" customHeight="false" outlineLevel="0" collapsed="false">
      <c r="A52" s="18" t="s">
        <v>111</v>
      </c>
      <c r="B52" s="18" t="n">
        <v>2</v>
      </c>
      <c r="C52" s="18" t="s">
        <v>313</v>
      </c>
      <c r="D52" s="18"/>
      <c r="E52" s="18"/>
      <c r="F52" s="18"/>
      <c r="G52" s="18" t="str">
        <f aca="false">IF(COUNT(D52:F52)=3,SUM(D52:F52),"")</f>
        <v/>
      </c>
      <c r="H52" s="9"/>
    </row>
    <row r="53" customFormat="false" ht="15" hidden="false" customHeight="false" outlineLevel="0" collapsed="false">
      <c r="A53" s="18" t="s">
        <v>111</v>
      </c>
      <c r="B53" s="18" t="n">
        <v>2</v>
      </c>
      <c r="C53" s="18" t="s">
        <v>314</v>
      </c>
      <c r="D53" s="18"/>
      <c r="E53" s="18"/>
      <c r="F53" s="18"/>
      <c r="G53" s="18" t="str">
        <f aca="false">IF(COUNT(D53:F53)=3,SUM(D53:F53),"")</f>
        <v/>
      </c>
      <c r="H53" s="9"/>
    </row>
    <row r="54" customFormat="false" ht="15" hidden="false" customHeight="false" outlineLevel="0" collapsed="false">
      <c r="A54" s="18" t="s">
        <v>115</v>
      </c>
      <c r="B54" s="18" t="n">
        <v>2</v>
      </c>
      <c r="C54" s="18" t="s">
        <v>311</v>
      </c>
      <c r="D54" s="18"/>
      <c r="E54" s="18"/>
      <c r="F54" s="18"/>
      <c r="G54" s="18" t="str">
        <f aca="false">IF(COUNT(D54:F54)=3,SUM(D54:F54),"")</f>
        <v/>
      </c>
      <c r="H54" s="9"/>
    </row>
    <row r="55" customFormat="false" ht="15" hidden="false" customHeight="false" outlineLevel="0" collapsed="false">
      <c r="A55" s="18" t="s">
        <v>115</v>
      </c>
      <c r="B55" s="18" t="n">
        <v>2</v>
      </c>
      <c r="C55" s="18" t="s">
        <v>312</v>
      </c>
      <c r="D55" s="18"/>
      <c r="E55" s="18"/>
      <c r="F55" s="18"/>
      <c r="G55" s="18" t="str">
        <f aca="false">IF(COUNT(D55:F55)=3,SUM(D55:F55),"")</f>
        <v/>
      </c>
      <c r="H55" s="9"/>
    </row>
    <row r="56" customFormat="false" ht="15" hidden="false" customHeight="false" outlineLevel="0" collapsed="false">
      <c r="A56" s="18" t="s">
        <v>115</v>
      </c>
      <c r="B56" s="18" t="n">
        <v>2</v>
      </c>
      <c r="C56" s="18" t="s">
        <v>313</v>
      </c>
      <c r="D56" s="18"/>
      <c r="E56" s="18"/>
      <c r="F56" s="18"/>
      <c r="G56" s="18" t="str">
        <f aca="false">IF(COUNT(D56:F56)=3,SUM(D56:F56),"")</f>
        <v/>
      </c>
      <c r="H56" s="9"/>
    </row>
    <row r="57" customFormat="false" ht="15" hidden="false" customHeight="false" outlineLevel="0" collapsed="false">
      <c r="A57" s="18" t="s">
        <v>115</v>
      </c>
      <c r="B57" s="18" t="n">
        <v>2</v>
      </c>
      <c r="C57" s="18" t="s">
        <v>314</v>
      </c>
      <c r="D57" s="18"/>
      <c r="E57" s="18"/>
      <c r="F57" s="18"/>
      <c r="G57" s="18" t="str">
        <f aca="false">IF(COUNT(D57:F57)=3,SUM(D57:F57),"")</f>
        <v/>
      </c>
      <c r="H57" s="9"/>
    </row>
    <row r="58" customFormat="false" ht="15" hidden="false" customHeight="false" outlineLevel="0" collapsed="false">
      <c r="A58" s="18" t="s">
        <v>119</v>
      </c>
      <c r="B58" s="18" t="n">
        <v>2</v>
      </c>
      <c r="C58" s="18" t="s">
        <v>311</v>
      </c>
      <c r="D58" s="18"/>
      <c r="E58" s="18"/>
      <c r="F58" s="18"/>
      <c r="G58" s="18" t="str">
        <f aca="false">IF(COUNT(D58:F58)=3,SUM(D58:F58),"")</f>
        <v/>
      </c>
      <c r="H58" s="9"/>
    </row>
    <row r="59" customFormat="false" ht="15" hidden="false" customHeight="false" outlineLevel="0" collapsed="false">
      <c r="A59" s="18" t="s">
        <v>119</v>
      </c>
      <c r="B59" s="18" t="n">
        <v>2</v>
      </c>
      <c r="C59" s="18" t="s">
        <v>312</v>
      </c>
      <c r="D59" s="18"/>
      <c r="E59" s="18"/>
      <c r="F59" s="18"/>
      <c r="G59" s="18" t="str">
        <f aca="false">IF(COUNT(D59:F59)=3,SUM(D59:F59),"")</f>
        <v/>
      </c>
      <c r="H59" s="9"/>
    </row>
    <row r="60" customFormat="false" ht="15" hidden="false" customHeight="false" outlineLevel="0" collapsed="false">
      <c r="A60" s="18" t="s">
        <v>119</v>
      </c>
      <c r="B60" s="18" t="n">
        <v>2</v>
      </c>
      <c r="C60" s="18" t="s">
        <v>313</v>
      </c>
      <c r="D60" s="18"/>
      <c r="E60" s="18"/>
      <c r="F60" s="18"/>
      <c r="G60" s="18" t="str">
        <f aca="false">IF(COUNT(D60:F60)=3,SUM(D60:F60),"")</f>
        <v/>
      </c>
      <c r="H60" s="9"/>
    </row>
    <row r="61" customFormat="false" ht="15" hidden="false" customHeight="false" outlineLevel="0" collapsed="false">
      <c r="A61" s="18" t="s">
        <v>119</v>
      </c>
      <c r="B61" s="18" t="n">
        <v>2</v>
      </c>
      <c r="C61" s="18" t="s">
        <v>314</v>
      </c>
      <c r="D61" s="18"/>
      <c r="E61" s="18"/>
      <c r="F61" s="18"/>
      <c r="G61" s="18" t="str">
        <f aca="false">IF(COUNT(D61:F61)=3,SUM(D61:F61),"")</f>
        <v/>
      </c>
      <c r="H61" s="9"/>
    </row>
    <row r="62" customFormat="false" ht="15" hidden="false" customHeight="false" outlineLevel="0" collapsed="false">
      <c r="A62" s="18" t="s">
        <v>123</v>
      </c>
      <c r="B62" s="18" t="n">
        <v>2</v>
      </c>
      <c r="C62" s="18" t="s">
        <v>311</v>
      </c>
      <c r="D62" s="18"/>
      <c r="E62" s="18"/>
      <c r="F62" s="18"/>
      <c r="G62" s="18" t="str">
        <f aca="false">IF(COUNT(D62:F62)=3,SUM(D62:F62),"")</f>
        <v/>
      </c>
      <c r="H62" s="9"/>
    </row>
    <row r="63" customFormat="false" ht="15" hidden="false" customHeight="false" outlineLevel="0" collapsed="false">
      <c r="A63" s="18" t="s">
        <v>123</v>
      </c>
      <c r="B63" s="18" t="n">
        <v>2</v>
      </c>
      <c r="C63" s="18" t="s">
        <v>312</v>
      </c>
      <c r="D63" s="18"/>
      <c r="E63" s="18"/>
      <c r="F63" s="18"/>
      <c r="G63" s="18" t="str">
        <f aca="false">IF(COUNT(D63:F63)=3,SUM(D63:F63),"")</f>
        <v/>
      </c>
      <c r="H63" s="9"/>
    </row>
    <row r="64" customFormat="false" ht="15" hidden="false" customHeight="false" outlineLevel="0" collapsed="false">
      <c r="A64" s="18" t="s">
        <v>123</v>
      </c>
      <c r="B64" s="18" t="n">
        <v>2</v>
      </c>
      <c r="C64" s="18" t="s">
        <v>313</v>
      </c>
      <c r="D64" s="18"/>
      <c r="E64" s="18"/>
      <c r="F64" s="18"/>
      <c r="G64" s="18" t="str">
        <f aca="false">IF(COUNT(D64:F64)=3,SUM(D64:F64),"")</f>
        <v/>
      </c>
      <c r="H64" s="9"/>
    </row>
    <row r="65" customFormat="false" ht="15" hidden="false" customHeight="false" outlineLevel="0" collapsed="false">
      <c r="A65" s="18" t="s">
        <v>123</v>
      </c>
      <c r="B65" s="18" t="n">
        <v>2</v>
      </c>
      <c r="C65" s="18" t="s">
        <v>314</v>
      </c>
      <c r="D65" s="18"/>
      <c r="E65" s="18"/>
      <c r="F65" s="18"/>
      <c r="G65" s="18" t="str">
        <f aca="false">IF(COUNT(D65:F65)=3,SUM(D65:F65),"")</f>
        <v/>
      </c>
      <c r="H65" s="9"/>
    </row>
    <row r="66" customFormat="false" ht="15" hidden="false" customHeight="false" outlineLevel="0" collapsed="false">
      <c r="A66" s="18" t="s">
        <v>127</v>
      </c>
      <c r="B66" s="18" t="n">
        <v>2</v>
      </c>
      <c r="C66" s="18" t="s">
        <v>311</v>
      </c>
      <c r="D66" s="18"/>
      <c r="E66" s="18"/>
      <c r="F66" s="18"/>
      <c r="G66" s="18" t="str">
        <f aca="false">IF(COUNT(D66:F66)=3,SUM(D66:F66),"")</f>
        <v/>
      </c>
      <c r="H66" s="9"/>
    </row>
    <row r="67" customFormat="false" ht="15" hidden="false" customHeight="false" outlineLevel="0" collapsed="false">
      <c r="A67" s="18" t="s">
        <v>127</v>
      </c>
      <c r="B67" s="18" t="n">
        <v>2</v>
      </c>
      <c r="C67" s="18" t="s">
        <v>312</v>
      </c>
      <c r="D67" s="18"/>
      <c r="E67" s="18"/>
      <c r="F67" s="18"/>
      <c r="G67" s="18" t="str">
        <f aca="false">IF(COUNT(D67:F67)=3,SUM(D67:F67),"")</f>
        <v/>
      </c>
      <c r="H67" s="9"/>
    </row>
    <row r="68" customFormat="false" ht="15" hidden="false" customHeight="false" outlineLevel="0" collapsed="false">
      <c r="A68" s="18" t="s">
        <v>127</v>
      </c>
      <c r="B68" s="18" t="n">
        <v>2</v>
      </c>
      <c r="C68" s="18" t="s">
        <v>313</v>
      </c>
      <c r="D68" s="18"/>
      <c r="E68" s="18"/>
      <c r="F68" s="18"/>
      <c r="G68" s="18" t="str">
        <f aca="false">IF(COUNT(D68:F68)=3,SUM(D68:F68),"")</f>
        <v/>
      </c>
      <c r="H68" s="9"/>
    </row>
    <row r="69" customFormat="false" ht="15" hidden="false" customHeight="false" outlineLevel="0" collapsed="false">
      <c r="A69" s="18" t="s">
        <v>127</v>
      </c>
      <c r="B69" s="18" t="n">
        <v>2</v>
      </c>
      <c r="C69" s="18" t="s">
        <v>314</v>
      </c>
      <c r="D69" s="18"/>
      <c r="E69" s="18"/>
      <c r="F69" s="18"/>
      <c r="G69" s="18" t="str">
        <f aca="false">IF(COUNT(D69:F69)=3,SUM(D69:F69),"")</f>
        <v/>
      </c>
      <c r="H69" s="9"/>
    </row>
    <row r="70" customFormat="false" ht="15" hidden="false" customHeight="false" outlineLevel="0" collapsed="false">
      <c r="A70" s="18" t="s">
        <v>131</v>
      </c>
      <c r="B70" s="18" t="n">
        <v>2</v>
      </c>
      <c r="C70" s="18" t="s">
        <v>311</v>
      </c>
      <c r="D70" s="18"/>
      <c r="E70" s="18"/>
      <c r="F70" s="18"/>
      <c r="G70" s="18" t="str">
        <f aca="false">IF(COUNT(D70:F70)=3,SUM(D70:F70),"")</f>
        <v/>
      </c>
      <c r="H70" s="9"/>
    </row>
    <row r="71" customFormat="false" ht="15" hidden="false" customHeight="false" outlineLevel="0" collapsed="false">
      <c r="A71" s="18" t="s">
        <v>131</v>
      </c>
      <c r="B71" s="18" t="n">
        <v>2</v>
      </c>
      <c r="C71" s="18" t="s">
        <v>312</v>
      </c>
      <c r="D71" s="18"/>
      <c r="E71" s="18"/>
      <c r="F71" s="18"/>
      <c r="G71" s="18" t="str">
        <f aca="false">IF(COUNT(D71:F71)=3,SUM(D71:F71),"")</f>
        <v/>
      </c>
      <c r="H71" s="9"/>
    </row>
    <row r="72" customFormat="false" ht="15" hidden="false" customHeight="false" outlineLevel="0" collapsed="false">
      <c r="A72" s="18" t="s">
        <v>131</v>
      </c>
      <c r="B72" s="18" t="n">
        <v>2</v>
      </c>
      <c r="C72" s="18" t="s">
        <v>313</v>
      </c>
      <c r="D72" s="18"/>
      <c r="E72" s="18"/>
      <c r="F72" s="18"/>
      <c r="G72" s="18" t="str">
        <f aca="false">IF(COUNT(D72:F72)=3,SUM(D72:F72),"")</f>
        <v/>
      </c>
      <c r="H72" s="9"/>
    </row>
    <row r="73" customFormat="false" ht="15" hidden="false" customHeight="false" outlineLevel="0" collapsed="false">
      <c r="A73" s="18" t="s">
        <v>131</v>
      </c>
      <c r="B73" s="18" t="n">
        <v>2</v>
      </c>
      <c r="C73" s="18" t="s">
        <v>314</v>
      </c>
      <c r="D73" s="18"/>
      <c r="E73" s="18"/>
      <c r="F73" s="18"/>
      <c r="G73" s="18" t="str">
        <f aca="false">IF(COUNT(D73:F73)=3,SUM(D73:F73),"")</f>
        <v/>
      </c>
      <c r="H73" s="9"/>
    </row>
    <row r="74" customFormat="false" ht="15" hidden="false" customHeight="false" outlineLevel="0" collapsed="false">
      <c r="A74" s="18" t="s">
        <v>135</v>
      </c>
      <c r="B74" s="18" t="n">
        <v>2</v>
      </c>
      <c r="C74" s="18" t="s">
        <v>311</v>
      </c>
      <c r="D74" s="18"/>
      <c r="E74" s="18"/>
      <c r="F74" s="18"/>
      <c r="G74" s="18" t="str">
        <f aca="false">IF(COUNT(D74:F74)=3,SUM(D74:F74),"")</f>
        <v/>
      </c>
      <c r="H74" s="9"/>
    </row>
    <row r="75" customFormat="false" ht="15" hidden="false" customHeight="false" outlineLevel="0" collapsed="false">
      <c r="A75" s="18" t="s">
        <v>135</v>
      </c>
      <c r="B75" s="18" t="n">
        <v>2</v>
      </c>
      <c r="C75" s="18" t="s">
        <v>312</v>
      </c>
      <c r="D75" s="18"/>
      <c r="E75" s="18"/>
      <c r="F75" s="18"/>
      <c r="G75" s="18" t="str">
        <f aca="false">IF(COUNT(D75:F75)=3,SUM(D75:F75),"")</f>
        <v/>
      </c>
      <c r="H75" s="9"/>
    </row>
    <row r="76" customFormat="false" ht="15" hidden="false" customHeight="false" outlineLevel="0" collapsed="false">
      <c r="A76" s="18" t="s">
        <v>135</v>
      </c>
      <c r="B76" s="18" t="n">
        <v>2</v>
      </c>
      <c r="C76" s="18" t="s">
        <v>313</v>
      </c>
      <c r="D76" s="18"/>
      <c r="E76" s="18"/>
      <c r="F76" s="18"/>
      <c r="G76" s="18" t="str">
        <f aca="false">IF(COUNT(D76:F76)=3,SUM(D76:F76),"")</f>
        <v/>
      </c>
      <c r="H76" s="9"/>
    </row>
    <row r="77" customFormat="false" ht="15" hidden="false" customHeight="false" outlineLevel="0" collapsed="false">
      <c r="A77" s="18" t="s">
        <v>135</v>
      </c>
      <c r="B77" s="18" t="n">
        <v>2</v>
      </c>
      <c r="C77" s="18" t="s">
        <v>314</v>
      </c>
      <c r="D77" s="18"/>
      <c r="E77" s="18"/>
      <c r="F77" s="18"/>
      <c r="G77" s="18" t="str">
        <f aca="false">IF(COUNT(D77:F77)=3,SUM(D77:F77),"")</f>
        <v/>
      </c>
      <c r="H77" s="9"/>
    </row>
    <row r="78" customFormat="false" ht="15" hidden="false" customHeight="false" outlineLevel="0" collapsed="false">
      <c r="A78" s="18" t="s">
        <v>139</v>
      </c>
      <c r="B78" s="18" t="n">
        <v>2</v>
      </c>
      <c r="C78" s="18" t="s">
        <v>311</v>
      </c>
      <c r="D78" s="18"/>
      <c r="E78" s="18"/>
      <c r="F78" s="18"/>
      <c r="G78" s="18" t="str">
        <f aca="false">IF(COUNT(D78:F78)=3,SUM(D78:F78),"")</f>
        <v/>
      </c>
      <c r="H78" s="9"/>
    </row>
    <row r="79" customFormat="false" ht="15" hidden="false" customHeight="false" outlineLevel="0" collapsed="false">
      <c r="A79" s="18" t="s">
        <v>139</v>
      </c>
      <c r="B79" s="18" t="n">
        <v>2</v>
      </c>
      <c r="C79" s="18" t="s">
        <v>312</v>
      </c>
      <c r="D79" s="18"/>
      <c r="E79" s="18"/>
      <c r="F79" s="18"/>
      <c r="G79" s="18" t="str">
        <f aca="false">IF(COUNT(D79:F79)=3,SUM(D79:F79),"")</f>
        <v/>
      </c>
      <c r="H79" s="9"/>
    </row>
    <row r="80" customFormat="false" ht="15" hidden="false" customHeight="false" outlineLevel="0" collapsed="false">
      <c r="A80" s="18" t="s">
        <v>139</v>
      </c>
      <c r="B80" s="18" t="n">
        <v>2</v>
      </c>
      <c r="C80" s="18" t="s">
        <v>313</v>
      </c>
      <c r="D80" s="18"/>
      <c r="E80" s="18"/>
      <c r="F80" s="18"/>
      <c r="G80" s="18" t="str">
        <f aca="false">IF(COUNT(D80:F80)=3,SUM(D80:F80),"")</f>
        <v/>
      </c>
      <c r="H80" s="9"/>
    </row>
    <row r="81" customFormat="false" ht="15" hidden="false" customHeight="false" outlineLevel="0" collapsed="false">
      <c r="A81" s="18" t="s">
        <v>139</v>
      </c>
      <c r="B81" s="18" t="n">
        <v>2</v>
      </c>
      <c r="C81" s="18" t="s">
        <v>314</v>
      </c>
      <c r="D81" s="18"/>
      <c r="E81" s="18"/>
      <c r="F81" s="18"/>
      <c r="G81" s="18" t="str">
        <f aca="false">IF(COUNT(D81:F81)=3,SUM(D81:F81),"")</f>
        <v/>
      </c>
      <c r="H81" s="9"/>
    </row>
    <row r="82" customFormat="false" ht="15" hidden="false" customHeight="false" outlineLevel="0" collapsed="false">
      <c r="A82" s="18" t="s">
        <v>143</v>
      </c>
      <c r="B82" s="18" t="n">
        <v>3</v>
      </c>
      <c r="C82" s="18" t="s">
        <v>311</v>
      </c>
      <c r="D82" s="18"/>
      <c r="E82" s="18"/>
      <c r="F82" s="18"/>
      <c r="G82" s="18" t="str">
        <f aca="false">IF(COUNT(D82:F82)=3,SUM(D82:F82),"")</f>
        <v/>
      </c>
      <c r="H82" s="9"/>
    </row>
    <row r="83" customFormat="false" ht="15" hidden="false" customHeight="false" outlineLevel="0" collapsed="false">
      <c r="A83" s="18" t="s">
        <v>143</v>
      </c>
      <c r="B83" s="18" t="n">
        <v>3</v>
      </c>
      <c r="C83" s="18" t="s">
        <v>312</v>
      </c>
      <c r="D83" s="18"/>
      <c r="E83" s="18"/>
      <c r="F83" s="18"/>
      <c r="G83" s="18" t="str">
        <f aca="false">IF(COUNT(D83:F83)=3,SUM(D83:F83),"")</f>
        <v/>
      </c>
      <c r="H83" s="9"/>
    </row>
    <row r="84" customFormat="false" ht="15" hidden="false" customHeight="false" outlineLevel="0" collapsed="false">
      <c r="A84" s="18" t="s">
        <v>143</v>
      </c>
      <c r="B84" s="18" t="n">
        <v>3</v>
      </c>
      <c r="C84" s="18" t="s">
        <v>313</v>
      </c>
      <c r="D84" s="18"/>
      <c r="E84" s="18"/>
      <c r="F84" s="18"/>
      <c r="G84" s="18" t="str">
        <f aca="false">IF(COUNT(D84:F84)=3,SUM(D84:F84),"")</f>
        <v/>
      </c>
      <c r="H84" s="9"/>
    </row>
    <row r="85" customFormat="false" ht="15" hidden="false" customHeight="false" outlineLevel="0" collapsed="false">
      <c r="A85" s="18" t="s">
        <v>143</v>
      </c>
      <c r="B85" s="18" t="n">
        <v>3</v>
      </c>
      <c r="C85" s="18" t="s">
        <v>314</v>
      </c>
      <c r="D85" s="18"/>
      <c r="E85" s="18"/>
      <c r="F85" s="18"/>
      <c r="G85" s="18" t="str">
        <f aca="false">IF(COUNT(D85:F85)=3,SUM(D85:F85),"")</f>
        <v/>
      </c>
      <c r="H85" s="9"/>
    </row>
    <row r="86" customFormat="false" ht="15" hidden="false" customHeight="false" outlineLevel="0" collapsed="false">
      <c r="A86" s="18" t="s">
        <v>148</v>
      </c>
      <c r="B86" s="18" t="n">
        <v>3</v>
      </c>
      <c r="C86" s="18" t="s">
        <v>311</v>
      </c>
      <c r="D86" s="18"/>
      <c r="E86" s="18"/>
      <c r="F86" s="18"/>
      <c r="G86" s="18" t="str">
        <f aca="false">IF(COUNT(D86:F86)=3,SUM(D86:F86),"")</f>
        <v/>
      </c>
      <c r="H86" s="9"/>
    </row>
    <row r="87" customFormat="false" ht="15" hidden="false" customHeight="false" outlineLevel="0" collapsed="false">
      <c r="A87" s="18" t="s">
        <v>148</v>
      </c>
      <c r="B87" s="18" t="n">
        <v>3</v>
      </c>
      <c r="C87" s="18" t="s">
        <v>312</v>
      </c>
      <c r="D87" s="18"/>
      <c r="E87" s="18"/>
      <c r="F87" s="18"/>
      <c r="G87" s="18" t="str">
        <f aca="false">IF(COUNT(D87:F87)=3,SUM(D87:F87),"")</f>
        <v/>
      </c>
      <c r="H87" s="9"/>
    </row>
    <row r="88" customFormat="false" ht="15" hidden="false" customHeight="false" outlineLevel="0" collapsed="false">
      <c r="A88" s="18" t="s">
        <v>148</v>
      </c>
      <c r="B88" s="18" t="n">
        <v>3</v>
      </c>
      <c r="C88" s="18" t="s">
        <v>313</v>
      </c>
      <c r="D88" s="18"/>
      <c r="E88" s="18"/>
      <c r="F88" s="18"/>
      <c r="G88" s="18" t="str">
        <f aca="false">IF(COUNT(D88:F88)=3,SUM(D88:F88),"")</f>
        <v/>
      </c>
      <c r="H88" s="9"/>
    </row>
    <row r="89" customFormat="false" ht="15" hidden="false" customHeight="false" outlineLevel="0" collapsed="false">
      <c r="A89" s="18" t="s">
        <v>148</v>
      </c>
      <c r="B89" s="18" t="n">
        <v>3</v>
      </c>
      <c r="C89" s="18" t="s">
        <v>314</v>
      </c>
      <c r="D89" s="18"/>
      <c r="E89" s="18"/>
      <c r="F89" s="18"/>
      <c r="G89" s="18" t="str">
        <f aca="false">IF(COUNT(D89:F89)=3,SUM(D89:F89),"")</f>
        <v/>
      </c>
      <c r="H89" s="9"/>
    </row>
    <row r="90" customFormat="false" ht="15" hidden="false" customHeight="false" outlineLevel="0" collapsed="false">
      <c r="A90" s="18" t="s">
        <v>152</v>
      </c>
      <c r="B90" s="18" t="n">
        <v>3</v>
      </c>
      <c r="C90" s="18" t="s">
        <v>311</v>
      </c>
      <c r="D90" s="18"/>
      <c r="E90" s="18"/>
      <c r="F90" s="18"/>
      <c r="G90" s="18" t="str">
        <f aca="false">IF(COUNT(D90:F90)=3,SUM(D90:F90),"")</f>
        <v/>
      </c>
      <c r="H90" s="9"/>
    </row>
    <row r="91" customFormat="false" ht="15" hidden="false" customHeight="false" outlineLevel="0" collapsed="false">
      <c r="A91" s="18" t="s">
        <v>152</v>
      </c>
      <c r="B91" s="18" t="n">
        <v>3</v>
      </c>
      <c r="C91" s="18" t="s">
        <v>312</v>
      </c>
      <c r="D91" s="18"/>
      <c r="E91" s="18"/>
      <c r="F91" s="18"/>
      <c r="G91" s="18" t="str">
        <f aca="false">IF(COUNT(D91:F91)=3,SUM(D91:F91),"")</f>
        <v/>
      </c>
      <c r="H91" s="9"/>
    </row>
    <row r="92" customFormat="false" ht="15" hidden="false" customHeight="false" outlineLevel="0" collapsed="false">
      <c r="A92" s="18" t="s">
        <v>152</v>
      </c>
      <c r="B92" s="18" t="n">
        <v>3</v>
      </c>
      <c r="C92" s="18" t="s">
        <v>313</v>
      </c>
      <c r="D92" s="18"/>
      <c r="E92" s="18"/>
      <c r="F92" s="18"/>
      <c r="G92" s="18" t="str">
        <f aca="false">IF(COUNT(D92:F92)=3,SUM(D92:F92),"")</f>
        <v/>
      </c>
      <c r="H92" s="9"/>
    </row>
    <row r="93" customFormat="false" ht="15" hidden="false" customHeight="false" outlineLevel="0" collapsed="false">
      <c r="A93" s="18" t="s">
        <v>152</v>
      </c>
      <c r="B93" s="18" t="n">
        <v>3</v>
      </c>
      <c r="C93" s="18" t="s">
        <v>314</v>
      </c>
      <c r="D93" s="18"/>
      <c r="E93" s="18"/>
      <c r="F93" s="18"/>
      <c r="G93" s="18" t="str">
        <f aca="false">IF(COUNT(D93:F93)=3,SUM(D93:F93),"")</f>
        <v/>
      </c>
      <c r="H93" s="9"/>
    </row>
    <row r="94" customFormat="false" ht="15" hidden="false" customHeight="false" outlineLevel="0" collapsed="false">
      <c r="A94" s="18" t="s">
        <v>156</v>
      </c>
      <c r="B94" s="18" t="n">
        <v>3</v>
      </c>
      <c r="C94" s="18" t="s">
        <v>311</v>
      </c>
      <c r="D94" s="18"/>
      <c r="E94" s="18"/>
      <c r="F94" s="18"/>
      <c r="G94" s="18" t="str">
        <f aca="false">IF(COUNT(D94:F94)=3,SUM(D94:F94),"")</f>
        <v/>
      </c>
      <c r="H94" s="9"/>
    </row>
    <row r="95" customFormat="false" ht="15" hidden="false" customHeight="false" outlineLevel="0" collapsed="false">
      <c r="A95" s="18" t="s">
        <v>156</v>
      </c>
      <c r="B95" s="18" t="n">
        <v>3</v>
      </c>
      <c r="C95" s="18" t="s">
        <v>312</v>
      </c>
      <c r="D95" s="18"/>
      <c r="E95" s="18"/>
      <c r="F95" s="18"/>
      <c r="G95" s="18" t="str">
        <f aca="false">IF(COUNT(D95:F95)=3,SUM(D95:F95),"")</f>
        <v/>
      </c>
      <c r="H95" s="9"/>
    </row>
    <row r="96" customFormat="false" ht="15" hidden="false" customHeight="false" outlineLevel="0" collapsed="false">
      <c r="A96" s="18" t="s">
        <v>156</v>
      </c>
      <c r="B96" s="18" t="n">
        <v>3</v>
      </c>
      <c r="C96" s="18" t="s">
        <v>313</v>
      </c>
      <c r="D96" s="18"/>
      <c r="E96" s="18"/>
      <c r="F96" s="18"/>
      <c r="G96" s="18" t="str">
        <f aca="false">IF(COUNT(D96:F96)=3,SUM(D96:F96),"")</f>
        <v/>
      </c>
      <c r="H96" s="9"/>
    </row>
    <row r="97" customFormat="false" ht="15" hidden="false" customHeight="false" outlineLevel="0" collapsed="false">
      <c r="A97" s="18" t="s">
        <v>156</v>
      </c>
      <c r="B97" s="18" t="n">
        <v>3</v>
      </c>
      <c r="C97" s="18" t="s">
        <v>314</v>
      </c>
      <c r="D97" s="18"/>
      <c r="E97" s="18"/>
      <c r="F97" s="18"/>
      <c r="G97" s="18" t="str">
        <f aca="false">IF(COUNT(D97:F97)=3,SUM(D97:F97),"")</f>
        <v/>
      </c>
      <c r="H97" s="9"/>
    </row>
    <row r="98" customFormat="false" ht="15" hidden="false" customHeight="false" outlineLevel="0" collapsed="false">
      <c r="A98" s="18" t="s">
        <v>160</v>
      </c>
      <c r="B98" s="18" t="n">
        <v>3</v>
      </c>
      <c r="C98" s="18" t="s">
        <v>311</v>
      </c>
      <c r="D98" s="18"/>
      <c r="E98" s="18"/>
      <c r="F98" s="18"/>
      <c r="G98" s="18" t="str">
        <f aca="false">IF(COUNT(D98:F98)=3,SUM(D98:F98),"")</f>
        <v/>
      </c>
      <c r="H98" s="9"/>
    </row>
    <row r="99" customFormat="false" ht="15" hidden="false" customHeight="false" outlineLevel="0" collapsed="false">
      <c r="A99" s="18" t="s">
        <v>160</v>
      </c>
      <c r="B99" s="18" t="n">
        <v>3</v>
      </c>
      <c r="C99" s="18" t="s">
        <v>312</v>
      </c>
      <c r="D99" s="18"/>
      <c r="E99" s="18"/>
      <c r="F99" s="18"/>
      <c r="G99" s="18" t="str">
        <f aca="false">IF(COUNT(D99:F99)=3,SUM(D99:F99),"")</f>
        <v/>
      </c>
      <c r="H99" s="9"/>
    </row>
    <row r="100" customFormat="false" ht="15" hidden="false" customHeight="false" outlineLevel="0" collapsed="false">
      <c r="A100" s="18" t="s">
        <v>160</v>
      </c>
      <c r="B100" s="18" t="n">
        <v>3</v>
      </c>
      <c r="C100" s="18" t="s">
        <v>313</v>
      </c>
      <c r="D100" s="18"/>
      <c r="E100" s="18"/>
      <c r="F100" s="18"/>
      <c r="G100" s="18" t="str">
        <f aca="false">IF(COUNT(D100:F100)=3,SUM(D100:F100),"")</f>
        <v/>
      </c>
      <c r="H100" s="9"/>
    </row>
    <row r="101" customFormat="false" ht="15" hidden="false" customHeight="false" outlineLevel="0" collapsed="false">
      <c r="A101" s="18" t="s">
        <v>160</v>
      </c>
      <c r="B101" s="18" t="n">
        <v>3</v>
      </c>
      <c r="C101" s="18" t="s">
        <v>314</v>
      </c>
      <c r="D101" s="18"/>
      <c r="E101" s="18"/>
      <c r="F101" s="18"/>
      <c r="G101" s="18" t="str">
        <f aca="false">IF(COUNT(D101:F101)=3,SUM(D101:F101),"")</f>
        <v/>
      </c>
      <c r="H101" s="9"/>
    </row>
    <row r="102" customFormat="false" ht="15" hidden="false" customHeight="false" outlineLevel="0" collapsed="false">
      <c r="A102" s="18" t="s">
        <v>164</v>
      </c>
      <c r="B102" s="18" t="n">
        <v>3</v>
      </c>
      <c r="C102" s="18" t="s">
        <v>311</v>
      </c>
      <c r="D102" s="18"/>
      <c r="E102" s="18"/>
      <c r="F102" s="18"/>
      <c r="G102" s="18" t="str">
        <f aca="false">IF(COUNT(D102:F102)=3,SUM(D102:F102),"")</f>
        <v/>
      </c>
      <c r="H102" s="9"/>
    </row>
    <row r="103" customFormat="false" ht="15" hidden="false" customHeight="false" outlineLevel="0" collapsed="false">
      <c r="A103" s="18" t="s">
        <v>164</v>
      </c>
      <c r="B103" s="18" t="n">
        <v>3</v>
      </c>
      <c r="C103" s="18" t="s">
        <v>312</v>
      </c>
      <c r="D103" s="18"/>
      <c r="E103" s="18"/>
      <c r="F103" s="18"/>
      <c r="G103" s="18" t="str">
        <f aca="false">IF(COUNT(D103:F103)=3,SUM(D103:F103),"")</f>
        <v/>
      </c>
      <c r="H103" s="9"/>
    </row>
    <row r="104" customFormat="false" ht="15" hidden="false" customHeight="false" outlineLevel="0" collapsed="false">
      <c r="A104" s="18" t="s">
        <v>164</v>
      </c>
      <c r="B104" s="18" t="n">
        <v>3</v>
      </c>
      <c r="C104" s="18" t="s">
        <v>313</v>
      </c>
      <c r="D104" s="18"/>
      <c r="E104" s="18"/>
      <c r="F104" s="18"/>
      <c r="G104" s="18" t="str">
        <f aca="false">IF(COUNT(D104:F104)=3,SUM(D104:F104),"")</f>
        <v/>
      </c>
      <c r="H104" s="9"/>
    </row>
    <row r="105" customFormat="false" ht="15" hidden="false" customHeight="false" outlineLevel="0" collapsed="false">
      <c r="A105" s="18" t="s">
        <v>164</v>
      </c>
      <c r="B105" s="18" t="n">
        <v>3</v>
      </c>
      <c r="C105" s="18" t="s">
        <v>314</v>
      </c>
      <c r="D105" s="18"/>
      <c r="E105" s="18"/>
      <c r="F105" s="18"/>
      <c r="G105" s="18" t="str">
        <f aca="false">IF(COUNT(D105:F105)=3,SUM(D105:F105),"")</f>
        <v/>
      </c>
      <c r="H105" s="9"/>
    </row>
    <row r="106" customFormat="false" ht="15" hidden="false" customHeight="false" outlineLevel="0" collapsed="false">
      <c r="A106" s="18" t="s">
        <v>168</v>
      </c>
      <c r="B106" s="18" t="n">
        <v>3</v>
      </c>
      <c r="C106" s="18" t="s">
        <v>311</v>
      </c>
      <c r="D106" s="18"/>
      <c r="E106" s="18"/>
      <c r="F106" s="18"/>
      <c r="G106" s="18" t="str">
        <f aca="false">IF(COUNT(D106:F106)=3,SUM(D106:F106),"")</f>
        <v/>
      </c>
      <c r="H106" s="9"/>
    </row>
    <row r="107" customFormat="false" ht="15" hidden="false" customHeight="false" outlineLevel="0" collapsed="false">
      <c r="A107" s="18" t="s">
        <v>168</v>
      </c>
      <c r="B107" s="18" t="n">
        <v>3</v>
      </c>
      <c r="C107" s="18" t="s">
        <v>312</v>
      </c>
      <c r="D107" s="18"/>
      <c r="E107" s="18"/>
      <c r="F107" s="18"/>
      <c r="G107" s="18" t="str">
        <f aca="false">IF(COUNT(D107:F107)=3,SUM(D107:F107),"")</f>
        <v/>
      </c>
      <c r="H107" s="9"/>
    </row>
    <row r="108" customFormat="false" ht="15" hidden="false" customHeight="false" outlineLevel="0" collapsed="false">
      <c r="A108" s="18" t="s">
        <v>168</v>
      </c>
      <c r="B108" s="18" t="n">
        <v>3</v>
      </c>
      <c r="C108" s="18" t="s">
        <v>313</v>
      </c>
      <c r="D108" s="18"/>
      <c r="E108" s="18"/>
      <c r="F108" s="18"/>
      <c r="G108" s="18" t="str">
        <f aca="false">IF(COUNT(D108:F108)=3,SUM(D108:F108),"")</f>
        <v/>
      </c>
      <c r="H108" s="9"/>
    </row>
    <row r="109" customFormat="false" ht="15" hidden="false" customHeight="false" outlineLevel="0" collapsed="false">
      <c r="A109" s="18" t="s">
        <v>168</v>
      </c>
      <c r="B109" s="18" t="n">
        <v>3</v>
      </c>
      <c r="C109" s="18" t="s">
        <v>314</v>
      </c>
      <c r="D109" s="18"/>
      <c r="E109" s="18"/>
      <c r="F109" s="18"/>
      <c r="G109" s="18" t="str">
        <f aca="false">IF(COUNT(D109:F109)=3,SUM(D109:F109),"")</f>
        <v/>
      </c>
      <c r="H109" s="9"/>
    </row>
    <row r="110" customFormat="false" ht="15" hidden="false" customHeight="false" outlineLevel="0" collapsed="false">
      <c r="A110" s="18" t="s">
        <v>172</v>
      </c>
      <c r="B110" s="18" t="n">
        <v>3</v>
      </c>
      <c r="C110" s="18" t="s">
        <v>311</v>
      </c>
      <c r="D110" s="18"/>
      <c r="E110" s="18"/>
      <c r="F110" s="18"/>
      <c r="G110" s="18" t="str">
        <f aca="false">IF(COUNT(D110:F110)=3,SUM(D110:F110),"")</f>
        <v/>
      </c>
      <c r="H110" s="9"/>
    </row>
    <row r="111" customFormat="false" ht="15" hidden="false" customHeight="false" outlineLevel="0" collapsed="false">
      <c r="A111" s="18" t="s">
        <v>172</v>
      </c>
      <c r="B111" s="18" t="n">
        <v>3</v>
      </c>
      <c r="C111" s="18" t="s">
        <v>312</v>
      </c>
      <c r="D111" s="18"/>
      <c r="E111" s="18"/>
      <c r="F111" s="18"/>
      <c r="G111" s="18" t="str">
        <f aca="false">IF(COUNT(D111:F111)=3,SUM(D111:F111),"")</f>
        <v/>
      </c>
      <c r="H111" s="9"/>
    </row>
    <row r="112" customFormat="false" ht="15" hidden="false" customHeight="false" outlineLevel="0" collapsed="false">
      <c r="A112" s="18" t="s">
        <v>172</v>
      </c>
      <c r="B112" s="18" t="n">
        <v>3</v>
      </c>
      <c r="C112" s="18" t="s">
        <v>313</v>
      </c>
      <c r="D112" s="18"/>
      <c r="E112" s="18"/>
      <c r="F112" s="18"/>
      <c r="G112" s="18" t="str">
        <f aca="false">IF(COUNT(D112:F112)=3,SUM(D112:F112),"")</f>
        <v/>
      </c>
      <c r="H112" s="9"/>
    </row>
    <row r="113" customFormat="false" ht="15" hidden="false" customHeight="false" outlineLevel="0" collapsed="false">
      <c r="A113" s="18" t="s">
        <v>172</v>
      </c>
      <c r="B113" s="18" t="n">
        <v>3</v>
      </c>
      <c r="C113" s="18" t="s">
        <v>314</v>
      </c>
      <c r="D113" s="18"/>
      <c r="E113" s="18"/>
      <c r="F113" s="18"/>
      <c r="G113" s="18" t="str">
        <f aca="false">IF(COUNT(D113:F113)=3,SUM(D113:F113),"")</f>
        <v/>
      </c>
      <c r="H113" s="9"/>
    </row>
    <row r="114" customFormat="false" ht="15" hidden="false" customHeight="false" outlineLevel="0" collapsed="false">
      <c r="A114" s="18" t="s">
        <v>176</v>
      </c>
      <c r="B114" s="18" t="n">
        <v>3</v>
      </c>
      <c r="C114" s="18" t="s">
        <v>311</v>
      </c>
      <c r="D114" s="18"/>
      <c r="E114" s="18"/>
      <c r="F114" s="18"/>
      <c r="G114" s="18" t="str">
        <f aca="false">IF(COUNT(D114:F114)=3,SUM(D114:F114),"")</f>
        <v/>
      </c>
      <c r="H114" s="9"/>
    </row>
    <row r="115" customFormat="false" ht="15" hidden="false" customHeight="false" outlineLevel="0" collapsed="false">
      <c r="A115" s="18" t="s">
        <v>176</v>
      </c>
      <c r="B115" s="18" t="n">
        <v>3</v>
      </c>
      <c r="C115" s="18" t="s">
        <v>312</v>
      </c>
      <c r="D115" s="18"/>
      <c r="E115" s="18"/>
      <c r="F115" s="18"/>
      <c r="G115" s="18" t="str">
        <f aca="false">IF(COUNT(D115:F115)=3,SUM(D115:F115),"")</f>
        <v/>
      </c>
      <c r="H115" s="9"/>
    </row>
    <row r="116" customFormat="false" ht="15" hidden="false" customHeight="false" outlineLevel="0" collapsed="false">
      <c r="A116" s="18" t="s">
        <v>176</v>
      </c>
      <c r="B116" s="18" t="n">
        <v>3</v>
      </c>
      <c r="C116" s="18" t="s">
        <v>313</v>
      </c>
      <c r="D116" s="18"/>
      <c r="E116" s="18"/>
      <c r="F116" s="18"/>
      <c r="G116" s="18" t="str">
        <f aca="false">IF(COUNT(D116:F116)=3,SUM(D116:F116),"")</f>
        <v/>
      </c>
      <c r="H116" s="9"/>
    </row>
    <row r="117" customFormat="false" ht="15" hidden="false" customHeight="false" outlineLevel="0" collapsed="false">
      <c r="A117" s="18" t="s">
        <v>176</v>
      </c>
      <c r="B117" s="18" t="n">
        <v>3</v>
      </c>
      <c r="C117" s="18" t="s">
        <v>314</v>
      </c>
      <c r="D117" s="18"/>
      <c r="E117" s="18"/>
      <c r="F117" s="18"/>
      <c r="G117" s="18" t="str">
        <f aca="false">IF(COUNT(D117:F117)=3,SUM(D117:F117),"")</f>
        <v/>
      </c>
      <c r="H117" s="9"/>
    </row>
    <row r="118" customFormat="false" ht="15" hidden="false" customHeight="false" outlineLevel="0" collapsed="false">
      <c r="A118" s="18" t="s">
        <v>180</v>
      </c>
      <c r="B118" s="18" t="n">
        <v>3</v>
      </c>
      <c r="C118" s="18" t="s">
        <v>311</v>
      </c>
      <c r="D118" s="18"/>
      <c r="E118" s="18"/>
      <c r="F118" s="18"/>
      <c r="G118" s="18" t="str">
        <f aca="false">IF(COUNT(D118:F118)=3,SUM(D118:F118),"")</f>
        <v/>
      </c>
      <c r="H118" s="9"/>
    </row>
    <row r="119" customFormat="false" ht="15" hidden="false" customHeight="false" outlineLevel="0" collapsed="false">
      <c r="A119" s="18" t="s">
        <v>180</v>
      </c>
      <c r="B119" s="18" t="n">
        <v>3</v>
      </c>
      <c r="C119" s="18" t="s">
        <v>312</v>
      </c>
      <c r="D119" s="18"/>
      <c r="E119" s="18"/>
      <c r="F119" s="18"/>
      <c r="G119" s="18" t="str">
        <f aca="false">IF(COUNT(D119:F119)=3,SUM(D119:F119),"")</f>
        <v/>
      </c>
      <c r="H119" s="9"/>
    </row>
    <row r="120" customFormat="false" ht="15" hidden="false" customHeight="false" outlineLevel="0" collapsed="false">
      <c r="A120" s="18" t="s">
        <v>180</v>
      </c>
      <c r="B120" s="18" t="n">
        <v>3</v>
      </c>
      <c r="C120" s="18" t="s">
        <v>313</v>
      </c>
      <c r="D120" s="18"/>
      <c r="E120" s="18"/>
      <c r="F120" s="18"/>
      <c r="G120" s="18" t="str">
        <f aca="false">IF(COUNT(D120:F120)=3,SUM(D120:F120),"")</f>
        <v/>
      </c>
      <c r="H120" s="9"/>
    </row>
    <row r="121" customFormat="false" ht="15" hidden="false" customHeight="false" outlineLevel="0" collapsed="false">
      <c r="A121" s="18" t="s">
        <v>180</v>
      </c>
      <c r="B121" s="18" t="n">
        <v>3</v>
      </c>
      <c r="C121" s="18" t="s">
        <v>314</v>
      </c>
      <c r="D121" s="18"/>
      <c r="E121" s="18"/>
      <c r="F121" s="18"/>
      <c r="G121" s="18" t="str">
        <f aca="false">IF(COUNT(D121:F121)=3,SUM(D121:F121),"")</f>
        <v/>
      </c>
      <c r="H121" s="9"/>
    </row>
    <row r="122" customFormat="false" ht="15" hidden="false" customHeight="false" outlineLevel="0" collapsed="false">
      <c r="A122" s="18" t="s">
        <v>184</v>
      </c>
      <c r="B122" s="18" t="n">
        <v>4</v>
      </c>
      <c r="C122" s="18" t="s">
        <v>311</v>
      </c>
      <c r="D122" s="18"/>
      <c r="E122" s="18"/>
      <c r="F122" s="18"/>
      <c r="G122" s="18" t="str">
        <f aca="false">IF(COUNT(D122:F122)=3,SUM(D122:F122),"")</f>
        <v/>
      </c>
      <c r="H122" s="9"/>
    </row>
    <row r="123" customFormat="false" ht="15" hidden="false" customHeight="false" outlineLevel="0" collapsed="false">
      <c r="A123" s="18" t="s">
        <v>184</v>
      </c>
      <c r="B123" s="18" t="n">
        <v>4</v>
      </c>
      <c r="C123" s="18" t="s">
        <v>312</v>
      </c>
      <c r="D123" s="18"/>
      <c r="E123" s="18"/>
      <c r="F123" s="18"/>
      <c r="G123" s="18" t="str">
        <f aca="false">IF(COUNT(D123:F123)=3,SUM(D123:F123),"")</f>
        <v/>
      </c>
      <c r="H123" s="9"/>
    </row>
    <row r="124" customFormat="false" ht="15" hidden="false" customHeight="false" outlineLevel="0" collapsed="false">
      <c r="A124" s="18" t="s">
        <v>184</v>
      </c>
      <c r="B124" s="18" t="n">
        <v>4</v>
      </c>
      <c r="C124" s="18" t="s">
        <v>313</v>
      </c>
      <c r="D124" s="18"/>
      <c r="E124" s="18"/>
      <c r="F124" s="18"/>
      <c r="G124" s="18" t="str">
        <f aca="false">IF(COUNT(D124:F124)=3,SUM(D124:F124),"")</f>
        <v/>
      </c>
      <c r="H124" s="9"/>
    </row>
    <row r="125" customFormat="false" ht="15" hidden="false" customHeight="false" outlineLevel="0" collapsed="false">
      <c r="A125" s="18" t="s">
        <v>184</v>
      </c>
      <c r="B125" s="18" t="n">
        <v>4</v>
      </c>
      <c r="C125" s="18" t="s">
        <v>314</v>
      </c>
      <c r="D125" s="18"/>
      <c r="E125" s="18"/>
      <c r="F125" s="18"/>
      <c r="G125" s="18" t="str">
        <f aca="false">IF(COUNT(D125:F125)=3,SUM(D125:F125),"")</f>
        <v/>
      </c>
      <c r="H125" s="9"/>
    </row>
    <row r="126" customFormat="false" ht="15" hidden="false" customHeight="false" outlineLevel="0" collapsed="false">
      <c r="A126" s="18" t="s">
        <v>189</v>
      </c>
      <c r="B126" s="18" t="n">
        <v>4</v>
      </c>
      <c r="C126" s="18" t="s">
        <v>311</v>
      </c>
      <c r="D126" s="18"/>
      <c r="E126" s="18"/>
      <c r="F126" s="18"/>
      <c r="G126" s="18" t="str">
        <f aca="false">IF(COUNT(D126:F126)=3,SUM(D126:F126),"")</f>
        <v/>
      </c>
      <c r="H126" s="9"/>
    </row>
    <row r="127" customFormat="false" ht="15" hidden="false" customHeight="false" outlineLevel="0" collapsed="false">
      <c r="A127" s="18" t="s">
        <v>189</v>
      </c>
      <c r="B127" s="18" t="n">
        <v>4</v>
      </c>
      <c r="C127" s="18" t="s">
        <v>312</v>
      </c>
      <c r="D127" s="18"/>
      <c r="E127" s="18"/>
      <c r="F127" s="18"/>
      <c r="G127" s="18" t="str">
        <f aca="false">IF(COUNT(D127:F127)=3,SUM(D127:F127),"")</f>
        <v/>
      </c>
      <c r="H127" s="9"/>
    </row>
    <row r="128" customFormat="false" ht="15" hidden="false" customHeight="false" outlineLevel="0" collapsed="false">
      <c r="A128" s="18" t="s">
        <v>189</v>
      </c>
      <c r="B128" s="18" t="n">
        <v>4</v>
      </c>
      <c r="C128" s="18" t="s">
        <v>313</v>
      </c>
      <c r="D128" s="18"/>
      <c r="E128" s="18"/>
      <c r="F128" s="18"/>
      <c r="G128" s="18" t="str">
        <f aca="false">IF(COUNT(D128:F128)=3,SUM(D128:F128),"")</f>
        <v/>
      </c>
      <c r="H128" s="9"/>
    </row>
    <row r="129" customFormat="false" ht="15" hidden="false" customHeight="false" outlineLevel="0" collapsed="false">
      <c r="A129" s="18" t="s">
        <v>189</v>
      </c>
      <c r="B129" s="18" t="n">
        <v>4</v>
      </c>
      <c r="C129" s="18" t="s">
        <v>314</v>
      </c>
      <c r="D129" s="18"/>
      <c r="E129" s="18"/>
      <c r="F129" s="18"/>
      <c r="G129" s="18" t="str">
        <f aca="false">IF(COUNT(D129:F129)=3,SUM(D129:F129),"")</f>
        <v/>
      </c>
      <c r="H129" s="9"/>
    </row>
    <row r="130" customFormat="false" ht="15" hidden="false" customHeight="false" outlineLevel="0" collapsed="false">
      <c r="A130" s="18" t="s">
        <v>193</v>
      </c>
      <c r="B130" s="18" t="n">
        <v>4</v>
      </c>
      <c r="C130" s="18" t="s">
        <v>311</v>
      </c>
      <c r="D130" s="18"/>
      <c r="E130" s="18"/>
      <c r="F130" s="18"/>
      <c r="G130" s="18" t="str">
        <f aca="false">IF(COUNT(D130:F130)=3,SUM(D130:F130),"")</f>
        <v/>
      </c>
      <c r="H130" s="9"/>
    </row>
    <row r="131" customFormat="false" ht="15" hidden="false" customHeight="false" outlineLevel="0" collapsed="false">
      <c r="A131" s="18" t="s">
        <v>193</v>
      </c>
      <c r="B131" s="18" t="n">
        <v>4</v>
      </c>
      <c r="C131" s="18" t="s">
        <v>312</v>
      </c>
      <c r="D131" s="18"/>
      <c r="E131" s="18"/>
      <c r="F131" s="18"/>
      <c r="G131" s="18" t="str">
        <f aca="false">IF(COUNT(D131:F131)=3,SUM(D131:F131),"")</f>
        <v/>
      </c>
      <c r="H131" s="9"/>
    </row>
    <row r="132" customFormat="false" ht="15" hidden="false" customHeight="false" outlineLevel="0" collapsed="false">
      <c r="A132" s="18" t="s">
        <v>193</v>
      </c>
      <c r="B132" s="18" t="n">
        <v>4</v>
      </c>
      <c r="C132" s="18" t="s">
        <v>313</v>
      </c>
      <c r="D132" s="18"/>
      <c r="E132" s="18"/>
      <c r="F132" s="18"/>
      <c r="G132" s="18" t="str">
        <f aca="false">IF(COUNT(D132:F132)=3,SUM(D132:F132),"")</f>
        <v/>
      </c>
      <c r="H132" s="9"/>
    </row>
    <row r="133" customFormat="false" ht="15" hidden="false" customHeight="false" outlineLevel="0" collapsed="false">
      <c r="A133" s="18" t="s">
        <v>193</v>
      </c>
      <c r="B133" s="18" t="n">
        <v>4</v>
      </c>
      <c r="C133" s="18" t="s">
        <v>314</v>
      </c>
      <c r="D133" s="18"/>
      <c r="E133" s="18"/>
      <c r="F133" s="18"/>
      <c r="G133" s="18" t="str">
        <f aca="false">IF(COUNT(D133:F133)=3,SUM(D133:F133),"")</f>
        <v/>
      </c>
      <c r="H133" s="9"/>
    </row>
    <row r="134" customFormat="false" ht="15" hidden="false" customHeight="false" outlineLevel="0" collapsed="false">
      <c r="A134" s="18" t="s">
        <v>197</v>
      </c>
      <c r="B134" s="18" t="n">
        <v>4</v>
      </c>
      <c r="C134" s="18" t="s">
        <v>311</v>
      </c>
      <c r="D134" s="18"/>
      <c r="E134" s="18"/>
      <c r="F134" s="18"/>
      <c r="G134" s="18" t="str">
        <f aca="false">IF(COUNT(D134:F134)=3,SUM(D134:F134),"")</f>
        <v/>
      </c>
      <c r="H134" s="9"/>
    </row>
    <row r="135" customFormat="false" ht="15" hidden="false" customHeight="false" outlineLevel="0" collapsed="false">
      <c r="A135" s="18" t="s">
        <v>197</v>
      </c>
      <c r="B135" s="18" t="n">
        <v>4</v>
      </c>
      <c r="C135" s="18" t="s">
        <v>312</v>
      </c>
      <c r="D135" s="18"/>
      <c r="E135" s="18"/>
      <c r="F135" s="18"/>
      <c r="G135" s="18" t="str">
        <f aca="false">IF(COUNT(D135:F135)=3,SUM(D135:F135),"")</f>
        <v/>
      </c>
      <c r="H135" s="9"/>
    </row>
    <row r="136" customFormat="false" ht="15" hidden="false" customHeight="false" outlineLevel="0" collapsed="false">
      <c r="A136" s="18" t="s">
        <v>197</v>
      </c>
      <c r="B136" s="18" t="n">
        <v>4</v>
      </c>
      <c r="C136" s="18" t="s">
        <v>313</v>
      </c>
      <c r="D136" s="18"/>
      <c r="E136" s="18"/>
      <c r="F136" s="18"/>
      <c r="G136" s="18" t="str">
        <f aca="false">IF(COUNT(D136:F136)=3,SUM(D136:F136),"")</f>
        <v/>
      </c>
      <c r="H136" s="9"/>
    </row>
    <row r="137" customFormat="false" ht="15" hidden="false" customHeight="false" outlineLevel="0" collapsed="false">
      <c r="A137" s="18" t="s">
        <v>197</v>
      </c>
      <c r="B137" s="18" t="n">
        <v>4</v>
      </c>
      <c r="C137" s="18" t="s">
        <v>314</v>
      </c>
      <c r="D137" s="18"/>
      <c r="E137" s="18"/>
      <c r="F137" s="18"/>
      <c r="G137" s="18" t="str">
        <f aca="false">IF(COUNT(D137:F137)=3,SUM(D137:F137),"")</f>
        <v/>
      </c>
      <c r="H137" s="9"/>
    </row>
    <row r="138" customFormat="false" ht="15" hidden="false" customHeight="false" outlineLevel="0" collapsed="false">
      <c r="A138" s="18" t="s">
        <v>201</v>
      </c>
      <c r="B138" s="18" t="n">
        <v>4</v>
      </c>
      <c r="C138" s="18" t="s">
        <v>311</v>
      </c>
      <c r="D138" s="18"/>
      <c r="E138" s="18"/>
      <c r="F138" s="18"/>
      <c r="G138" s="18" t="str">
        <f aca="false">IF(COUNT(D138:F138)=3,SUM(D138:F138),"")</f>
        <v/>
      </c>
      <c r="H138" s="9"/>
    </row>
    <row r="139" customFormat="false" ht="15" hidden="false" customHeight="false" outlineLevel="0" collapsed="false">
      <c r="A139" s="18" t="s">
        <v>201</v>
      </c>
      <c r="B139" s="18" t="n">
        <v>4</v>
      </c>
      <c r="C139" s="18" t="s">
        <v>312</v>
      </c>
      <c r="D139" s="18"/>
      <c r="E139" s="18"/>
      <c r="F139" s="18"/>
      <c r="G139" s="18" t="str">
        <f aca="false">IF(COUNT(D139:F139)=3,SUM(D139:F139),"")</f>
        <v/>
      </c>
      <c r="H139" s="9"/>
    </row>
    <row r="140" customFormat="false" ht="15" hidden="false" customHeight="false" outlineLevel="0" collapsed="false">
      <c r="A140" s="18" t="s">
        <v>201</v>
      </c>
      <c r="B140" s="18" t="n">
        <v>4</v>
      </c>
      <c r="C140" s="18" t="s">
        <v>313</v>
      </c>
      <c r="D140" s="18"/>
      <c r="E140" s="18"/>
      <c r="F140" s="18"/>
      <c r="G140" s="18" t="str">
        <f aca="false">IF(COUNT(D140:F140)=3,SUM(D140:F140),"")</f>
        <v/>
      </c>
      <c r="H140" s="9"/>
    </row>
    <row r="141" customFormat="false" ht="15" hidden="false" customHeight="false" outlineLevel="0" collapsed="false">
      <c r="A141" s="18" t="s">
        <v>201</v>
      </c>
      <c r="B141" s="18" t="n">
        <v>4</v>
      </c>
      <c r="C141" s="18" t="s">
        <v>314</v>
      </c>
      <c r="D141" s="18"/>
      <c r="E141" s="18"/>
      <c r="F141" s="18"/>
      <c r="G141" s="18" t="str">
        <f aca="false">IF(COUNT(D141:F141)=3,SUM(D141:F141),"")</f>
        <v/>
      </c>
      <c r="H141" s="9"/>
    </row>
    <row r="142" customFormat="false" ht="15" hidden="false" customHeight="false" outlineLevel="0" collapsed="false">
      <c r="A142" s="18" t="s">
        <v>205</v>
      </c>
      <c r="B142" s="18" t="n">
        <v>4</v>
      </c>
      <c r="C142" s="18" t="s">
        <v>311</v>
      </c>
      <c r="D142" s="18"/>
      <c r="E142" s="18"/>
      <c r="F142" s="18"/>
      <c r="G142" s="18" t="str">
        <f aca="false">IF(COUNT(D142:F142)=3,SUM(D142:F142),"")</f>
        <v/>
      </c>
      <c r="H142" s="9"/>
    </row>
    <row r="143" customFormat="false" ht="15" hidden="false" customHeight="false" outlineLevel="0" collapsed="false">
      <c r="A143" s="18" t="s">
        <v>205</v>
      </c>
      <c r="B143" s="18" t="n">
        <v>4</v>
      </c>
      <c r="C143" s="18" t="s">
        <v>312</v>
      </c>
      <c r="D143" s="18"/>
      <c r="E143" s="18"/>
      <c r="F143" s="18"/>
      <c r="G143" s="18" t="str">
        <f aca="false">IF(COUNT(D143:F143)=3,SUM(D143:F143),"")</f>
        <v/>
      </c>
      <c r="H143" s="9"/>
    </row>
    <row r="144" customFormat="false" ht="15" hidden="false" customHeight="false" outlineLevel="0" collapsed="false">
      <c r="A144" s="18" t="s">
        <v>205</v>
      </c>
      <c r="B144" s="18" t="n">
        <v>4</v>
      </c>
      <c r="C144" s="18" t="s">
        <v>313</v>
      </c>
      <c r="D144" s="18"/>
      <c r="E144" s="18"/>
      <c r="F144" s="18"/>
      <c r="G144" s="18" t="str">
        <f aca="false">IF(COUNT(D144:F144)=3,SUM(D144:F144),"")</f>
        <v/>
      </c>
      <c r="H144" s="9"/>
    </row>
    <row r="145" customFormat="false" ht="15" hidden="false" customHeight="false" outlineLevel="0" collapsed="false">
      <c r="A145" s="18" t="s">
        <v>205</v>
      </c>
      <c r="B145" s="18" t="n">
        <v>4</v>
      </c>
      <c r="C145" s="18" t="s">
        <v>314</v>
      </c>
      <c r="D145" s="18"/>
      <c r="E145" s="18"/>
      <c r="F145" s="18"/>
      <c r="G145" s="18" t="str">
        <f aca="false">IF(COUNT(D145:F145)=3,SUM(D145:F145),"")</f>
        <v/>
      </c>
      <c r="H145" s="9"/>
    </row>
    <row r="146" customFormat="false" ht="15" hidden="false" customHeight="false" outlineLevel="0" collapsed="false">
      <c r="A146" s="18" t="s">
        <v>209</v>
      </c>
      <c r="B146" s="18" t="n">
        <v>4</v>
      </c>
      <c r="C146" s="18" t="s">
        <v>311</v>
      </c>
      <c r="D146" s="18"/>
      <c r="E146" s="18"/>
      <c r="F146" s="18"/>
      <c r="G146" s="18" t="str">
        <f aca="false">IF(COUNT(D146:F146)=3,SUM(D146:F146),"")</f>
        <v/>
      </c>
      <c r="H146" s="9"/>
    </row>
    <row r="147" customFormat="false" ht="15" hidden="false" customHeight="false" outlineLevel="0" collapsed="false">
      <c r="A147" s="18" t="s">
        <v>209</v>
      </c>
      <c r="B147" s="18" t="n">
        <v>4</v>
      </c>
      <c r="C147" s="18" t="s">
        <v>312</v>
      </c>
      <c r="D147" s="18"/>
      <c r="E147" s="18"/>
      <c r="F147" s="18"/>
      <c r="G147" s="18" t="str">
        <f aca="false">IF(COUNT(D147:F147)=3,SUM(D147:F147),"")</f>
        <v/>
      </c>
      <c r="H147" s="9"/>
    </row>
    <row r="148" customFormat="false" ht="15" hidden="false" customHeight="false" outlineLevel="0" collapsed="false">
      <c r="A148" s="18" t="s">
        <v>209</v>
      </c>
      <c r="B148" s="18" t="n">
        <v>4</v>
      </c>
      <c r="C148" s="18" t="s">
        <v>313</v>
      </c>
      <c r="D148" s="18"/>
      <c r="E148" s="18"/>
      <c r="F148" s="18"/>
      <c r="G148" s="18" t="str">
        <f aca="false">IF(COUNT(D148:F148)=3,SUM(D148:F148),"")</f>
        <v/>
      </c>
      <c r="H148" s="9"/>
    </row>
    <row r="149" customFormat="false" ht="15" hidden="false" customHeight="false" outlineLevel="0" collapsed="false">
      <c r="A149" s="18" t="s">
        <v>209</v>
      </c>
      <c r="B149" s="18" t="n">
        <v>4</v>
      </c>
      <c r="C149" s="18" t="s">
        <v>314</v>
      </c>
      <c r="D149" s="18"/>
      <c r="E149" s="18"/>
      <c r="F149" s="18"/>
      <c r="G149" s="18" t="str">
        <f aca="false">IF(COUNT(D149:F149)=3,SUM(D149:F149),"")</f>
        <v/>
      </c>
      <c r="H149" s="9"/>
    </row>
    <row r="150" customFormat="false" ht="15" hidden="false" customHeight="false" outlineLevel="0" collapsed="false">
      <c r="A150" s="18" t="s">
        <v>213</v>
      </c>
      <c r="B150" s="18" t="n">
        <v>4</v>
      </c>
      <c r="C150" s="18" t="s">
        <v>311</v>
      </c>
      <c r="D150" s="18"/>
      <c r="E150" s="18"/>
      <c r="F150" s="18"/>
      <c r="G150" s="18" t="str">
        <f aca="false">IF(COUNT(D150:F150)=3,SUM(D150:F150),"")</f>
        <v/>
      </c>
      <c r="H150" s="9"/>
    </row>
    <row r="151" customFormat="false" ht="15" hidden="false" customHeight="false" outlineLevel="0" collapsed="false">
      <c r="A151" s="18" t="s">
        <v>213</v>
      </c>
      <c r="B151" s="18" t="n">
        <v>4</v>
      </c>
      <c r="C151" s="18" t="s">
        <v>312</v>
      </c>
      <c r="D151" s="18"/>
      <c r="E151" s="18"/>
      <c r="F151" s="18"/>
      <c r="G151" s="18" t="str">
        <f aca="false">IF(COUNT(D151:F151)=3,SUM(D151:F151),"")</f>
        <v/>
      </c>
      <c r="H151" s="9"/>
    </row>
    <row r="152" customFormat="false" ht="15" hidden="false" customHeight="false" outlineLevel="0" collapsed="false">
      <c r="A152" s="18" t="s">
        <v>213</v>
      </c>
      <c r="B152" s="18" t="n">
        <v>4</v>
      </c>
      <c r="C152" s="18" t="s">
        <v>313</v>
      </c>
      <c r="D152" s="18"/>
      <c r="E152" s="18"/>
      <c r="F152" s="18"/>
      <c r="G152" s="18" t="str">
        <f aca="false">IF(COUNT(D152:F152)=3,SUM(D152:F152),"")</f>
        <v/>
      </c>
      <c r="H152" s="9"/>
    </row>
    <row r="153" customFormat="false" ht="15" hidden="false" customHeight="false" outlineLevel="0" collapsed="false">
      <c r="A153" s="18" t="s">
        <v>213</v>
      </c>
      <c r="B153" s="18" t="n">
        <v>4</v>
      </c>
      <c r="C153" s="18" t="s">
        <v>314</v>
      </c>
      <c r="D153" s="18"/>
      <c r="E153" s="18"/>
      <c r="F153" s="18"/>
      <c r="G153" s="18" t="str">
        <f aca="false">IF(COUNT(D153:F153)=3,SUM(D153:F153),"")</f>
        <v/>
      </c>
      <c r="H153" s="9"/>
    </row>
    <row r="154" customFormat="false" ht="15" hidden="false" customHeight="false" outlineLevel="0" collapsed="false">
      <c r="A154" s="18" t="s">
        <v>217</v>
      </c>
      <c r="B154" s="18" t="n">
        <v>4</v>
      </c>
      <c r="C154" s="18" t="s">
        <v>311</v>
      </c>
      <c r="D154" s="18"/>
      <c r="E154" s="18"/>
      <c r="F154" s="18"/>
      <c r="G154" s="18" t="str">
        <f aca="false">IF(COUNT(D154:F154)=3,SUM(D154:F154),"")</f>
        <v/>
      </c>
      <c r="H154" s="9"/>
    </row>
    <row r="155" customFormat="false" ht="15" hidden="false" customHeight="false" outlineLevel="0" collapsed="false">
      <c r="A155" s="18" t="s">
        <v>217</v>
      </c>
      <c r="B155" s="18" t="n">
        <v>4</v>
      </c>
      <c r="C155" s="18" t="s">
        <v>312</v>
      </c>
      <c r="D155" s="18"/>
      <c r="E155" s="18"/>
      <c r="F155" s="18"/>
      <c r="G155" s="18" t="str">
        <f aca="false">IF(COUNT(D155:F155)=3,SUM(D155:F155),"")</f>
        <v/>
      </c>
      <c r="H155" s="9"/>
    </row>
    <row r="156" customFormat="false" ht="15" hidden="false" customHeight="false" outlineLevel="0" collapsed="false">
      <c r="A156" s="18" t="s">
        <v>217</v>
      </c>
      <c r="B156" s="18" t="n">
        <v>4</v>
      </c>
      <c r="C156" s="18" t="s">
        <v>313</v>
      </c>
      <c r="D156" s="18"/>
      <c r="E156" s="18"/>
      <c r="F156" s="18"/>
      <c r="G156" s="18" t="str">
        <f aca="false">IF(COUNT(D156:F156)=3,SUM(D156:F156),"")</f>
        <v/>
      </c>
      <c r="H156" s="9"/>
    </row>
    <row r="157" customFormat="false" ht="15" hidden="false" customHeight="false" outlineLevel="0" collapsed="false">
      <c r="A157" s="18" t="s">
        <v>217</v>
      </c>
      <c r="B157" s="18" t="n">
        <v>4</v>
      </c>
      <c r="C157" s="18" t="s">
        <v>314</v>
      </c>
      <c r="D157" s="18"/>
      <c r="E157" s="18"/>
      <c r="F157" s="18"/>
      <c r="G157" s="18" t="str">
        <f aca="false">IF(COUNT(D157:F157)=3,SUM(D157:F157),"")</f>
        <v/>
      </c>
      <c r="H157" s="9"/>
    </row>
    <row r="158" customFormat="false" ht="15" hidden="false" customHeight="false" outlineLevel="0" collapsed="false">
      <c r="A158" s="18" t="s">
        <v>221</v>
      </c>
      <c r="B158" s="18" t="n">
        <v>4</v>
      </c>
      <c r="C158" s="18" t="s">
        <v>311</v>
      </c>
      <c r="D158" s="18"/>
      <c r="E158" s="18"/>
      <c r="F158" s="18"/>
      <c r="G158" s="18" t="str">
        <f aca="false">IF(COUNT(D158:F158)=3,SUM(D158:F158),"")</f>
        <v/>
      </c>
      <c r="H158" s="9"/>
    </row>
    <row r="159" customFormat="false" ht="15" hidden="false" customHeight="false" outlineLevel="0" collapsed="false">
      <c r="A159" s="18" t="s">
        <v>221</v>
      </c>
      <c r="B159" s="18" t="n">
        <v>4</v>
      </c>
      <c r="C159" s="18" t="s">
        <v>312</v>
      </c>
      <c r="D159" s="18"/>
      <c r="E159" s="18"/>
      <c r="F159" s="18"/>
      <c r="G159" s="18" t="str">
        <f aca="false">IF(COUNT(D159:F159)=3,SUM(D159:F159),"")</f>
        <v/>
      </c>
      <c r="H159" s="9"/>
    </row>
    <row r="160" customFormat="false" ht="15" hidden="false" customHeight="false" outlineLevel="0" collapsed="false">
      <c r="A160" s="18" t="s">
        <v>221</v>
      </c>
      <c r="B160" s="18" t="n">
        <v>4</v>
      </c>
      <c r="C160" s="18" t="s">
        <v>313</v>
      </c>
      <c r="D160" s="18"/>
      <c r="E160" s="18"/>
      <c r="F160" s="18"/>
      <c r="G160" s="18" t="str">
        <f aca="false">IF(COUNT(D160:F160)=3,SUM(D160:F160),"")</f>
        <v/>
      </c>
      <c r="H160" s="9"/>
    </row>
    <row r="161" customFormat="false" ht="15" hidden="false" customHeight="false" outlineLevel="0" collapsed="false">
      <c r="A161" s="18" t="s">
        <v>221</v>
      </c>
      <c r="B161" s="18" t="n">
        <v>4</v>
      </c>
      <c r="C161" s="18" t="s">
        <v>314</v>
      </c>
      <c r="D161" s="18"/>
      <c r="E161" s="18"/>
      <c r="F161" s="18"/>
      <c r="G161" s="18" t="str">
        <f aca="false">IF(COUNT(D161:F161)=3,SUM(D161:F161),"")</f>
        <v/>
      </c>
      <c r="H161" s="9"/>
    </row>
    <row r="162" customFormat="false" ht="15" hidden="false" customHeight="false" outlineLevel="0" collapsed="false">
      <c r="A162" s="18" t="s">
        <v>225</v>
      </c>
      <c r="B162" s="18" t="n">
        <v>5</v>
      </c>
      <c r="C162" s="18" t="s">
        <v>311</v>
      </c>
      <c r="D162" s="18"/>
      <c r="E162" s="18"/>
      <c r="F162" s="18"/>
      <c r="G162" s="18" t="str">
        <f aca="false">IF(COUNT(D162:F162)=3,SUM(D162:F162),"")</f>
        <v/>
      </c>
      <c r="H162" s="9"/>
    </row>
    <row r="163" customFormat="false" ht="15" hidden="false" customHeight="false" outlineLevel="0" collapsed="false">
      <c r="A163" s="18" t="s">
        <v>225</v>
      </c>
      <c r="B163" s="18" t="n">
        <v>5</v>
      </c>
      <c r="C163" s="18" t="s">
        <v>312</v>
      </c>
      <c r="D163" s="18"/>
      <c r="E163" s="18"/>
      <c r="F163" s="18"/>
      <c r="G163" s="18" t="str">
        <f aca="false">IF(COUNT(D163:F163)=3,SUM(D163:F163),"")</f>
        <v/>
      </c>
      <c r="H163" s="9"/>
    </row>
    <row r="164" customFormat="false" ht="15" hidden="false" customHeight="false" outlineLevel="0" collapsed="false">
      <c r="A164" s="18" t="s">
        <v>225</v>
      </c>
      <c r="B164" s="18" t="n">
        <v>5</v>
      </c>
      <c r="C164" s="18" t="s">
        <v>313</v>
      </c>
      <c r="D164" s="18"/>
      <c r="E164" s="18"/>
      <c r="F164" s="18"/>
      <c r="G164" s="18" t="str">
        <f aca="false">IF(COUNT(D164:F164)=3,SUM(D164:F164),"")</f>
        <v/>
      </c>
      <c r="H164" s="9"/>
    </row>
    <row r="165" customFormat="false" ht="15" hidden="false" customHeight="false" outlineLevel="0" collapsed="false">
      <c r="A165" s="18" t="s">
        <v>225</v>
      </c>
      <c r="B165" s="18" t="n">
        <v>5</v>
      </c>
      <c r="C165" s="18" t="s">
        <v>314</v>
      </c>
      <c r="D165" s="18"/>
      <c r="E165" s="18"/>
      <c r="F165" s="18"/>
      <c r="G165" s="18" t="str">
        <f aca="false">IF(COUNT(D165:F165)=3,SUM(D165:F165),"")</f>
        <v/>
      </c>
      <c r="H165" s="9"/>
    </row>
    <row r="166" customFormat="false" ht="15" hidden="false" customHeight="false" outlineLevel="0" collapsed="false">
      <c r="A166" s="18" t="s">
        <v>231</v>
      </c>
      <c r="B166" s="18" t="n">
        <v>5</v>
      </c>
      <c r="C166" s="18" t="s">
        <v>311</v>
      </c>
      <c r="D166" s="18"/>
      <c r="E166" s="18"/>
      <c r="F166" s="18"/>
      <c r="G166" s="18" t="str">
        <f aca="false">IF(COUNT(D166:F166)=3,SUM(D166:F166),"")</f>
        <v/>
      </c>
      <c r="H166" s="9"/>
    </row>
    <row r="167" customFormat="false" ht="15" hidden="false" customHeight="false" outlineLevel="0" collapsed="false">
      <c r="A167" s="18" t="s">
        <v>231</v>
      </c>
      <c r="B167" s="18" t="n">
        <v>5</v>
      </c>
      <c r="C167" s="18" t="s">
        <v>312</v>
      </c>
      <c r="D167" s="18"/>
      <c r="E167" s="18"/>
      <c r="F167" s="18"/>
      <c r="G167" s="18" t="str">
        <f aca="false">IF(COUNT(D167:F167)=3,SUM(D167:F167),"")</f>
        <v/>
      </c>
      <c r="H167" s="9"/>
    </row>
    <row r="168" customFormat="false" ht="15" hidden="false" customHeight="false" outlineLevel="0" collapsed="false">
      <c r="A168" s="18" t="s">
        <v>231</v>
      </c>
      <c r="B168" s="18" t="n">
        <v>5</v>
      </c>
      <c r="C168" s="18" t="s">
        <v>313</v>
      </c>
      <c r="D168" s="18"/>
      <c r="E168" s="18"/>
      <c r="F168" s="18"/>
      <c r="G168" s="18" t="str">
        <f aca="false">IF(COUNT(D168:F168)=3,SUM(D168:F168),"")</f>
        <v/>
      </c>
      <c r="H168" s="9"/>
    </row>
    <row r="169" customFormat="false" ht="15" hidden="false" customHeight="false" outlineLevel="0" collapsed="false">
      <c r="A169" s="18" t="s">
        <v>231</v>
      </c>
      <c r="B169" s="18" t="n">
        <v>5</v>
      </c>
      <c r="C169" s="18" t="s">
        <v>314</v>
      </c>
      <c r="D169" s="18"/>
      <c r="E169" s="18"/>
      <c r="F169" s="18"/>
      <c r="G169" s="18" t="str">
        <f aca="false">IF(COUNT(D169:F169)=3,SUM(D169:F169),"")</f>
        <v/>
      </c>
      <c r="H169" s="9"/>
    </row>
    <row r="170" customFormat="false" ht="15" hidden="false" customHeight="false" outlineLevel="0" collapsed="false">
      <c r="A170" s="18" t="s">
        <v>236</v>
      </c>
      <c r="B170" s="18" t="n">
        <v>5</v>
      </c>
      <c r="C170" s="18" t="s">
        <v>311</v>
      </c>
      <c r="D170" s="18"/>
      <c r="E170" s="18"/>
      <c r="F170" s="18"/>
      <c r="G170" s="18" t="str">
        <f aca="false">IF(COUNT(D170:F170)=3,SUM(D170:F170),"")</f>
        <v/>
      </c>
      <c r="H170" s="9"/>
    </row>
    <row r="171" customFormat="false" ht="15" hidden="false" customHeight="false" outlineLevel="0" collapsed="false">
      <c r="A171" s="18" t="s">
        <v>236</v>
      </c>
      <c r="B171" s="18" t="n">
        <v>5</v>
      </c>
      <c r="C171" s="18" t="s">
        <v>312</v>
      </c>
      <c r="D171" s="18"/>
      <c r="E171" s="18"/>
      <c r="F171" s="18"/>
      <c r="G171" s="18" t="str">
        <f aca="false">IF(COUNT(D171:F171)=3,SUM(D171:F171),"")</f>
        <v/>
      </c>
      <c r="H171" s="9"/>
    </row>
    <row r="172" customFormat="false" ht="15" hidden="false" customHeight="false" outlineLevel="0" collapsed="false">
      <c r="A172" s="18" t="s">
        <v>236</v>
      </c>
      <c r="B172" s="18" t="n">
        <v>5</v>
      </c>
      <c r="C172" s="18" t="s">
        <v>313</v>
      </c>
      <c r="D172" s="18"/>
      <c r="E172" s="18"/>
      <c r="F172" s="18"/>
      <c r="G172" s="18" t="str">
        <f aca="false">IF(COUNT(D172:F172)=3,SUM(D172:F172),"")</f>
        <v/>
      </c>
      <c r="H172" s="9"/>
    </row>
    <row r="173" customFormat="false" ht="15" hidden="false" customHeight="false" outlineLevel="0" collapsed="false">
      <c r="A173" s="18" t="s">
        <v>236</v>
      </c>
      <c r="B173" s="18" t="n">
        <v>5</v>
      </c>
      <c r="C173" s="18" t="s">
        <v>314</v>
      </c>
      <c r="D173" s="18"/>
      <c r="E173" s="18"/>
      <c r="F173" s="18"/>
      <c r="G173" s="18" t="str">
        <f aca="false">IF(COUNT(D173:F173)=3,SUM(D173:F173),"")</f>
        <v/>
      </c>
      <c r="H173" s="9"/>
    </row>
    <row r="174" customFormat="false" ht="15" hidden="false" customHeight="false" outlineLevel="0" collapsed="false">
      <c r="A174" s="18" t="s">
        <v>241</v>
      </c>
      <c r="B174" s="18" t="n">
        <v>5</v>
      </c>
      <c r="C174" s="18" t="s">
        <v>311</v>
      </c>
      <c r="D174" s="18"/>
      <c r="E174" s="18"/>
      <c r="F174" s="18"/>
      <c r="G174" s="18" t="str">
        <f aca="false">IF(COUNT(D174:F174)=3,SUM(D174:F174),"")</f>
        <v/>
      </c>
      <c r="H174" s="9"/>
    </row>
    <row r="175" customFormat="false" ht="15" hidden="false" customHeight="false" outlineLevel="0" collapsed="false">
      <c r="A175" s="18" t="s">
        <v>241</v>
      </c>
      <c r="B175" s="18" t="n">
        <v>5</v>
      </c>
      <c r="C175" s="18" t="s">
        <v>312</v>
      </c>
      <c r="D175" s="18"/>
      <c r="E175" s="18"/>
      <c r="F175" s="18"/>
      <c r="G175" s="18" t="str">
        <f aca="false">IF(COUNT(D175:F175)=3,SUM(D175:F175),"")</f>
        <v/>
      </c>
      <c r="H175" s="9"/>
    </row>
    <row r="176" customFormat="false" ht="15" hidden="false" customHeight="false" outlineLevel="0" collapsed="false">
      <c r="A176" s="18" t="s">
        <v>241</v>
      </c>
      <c r="B176" s="18" t="n">
        <v>5</v>
      </c>
      <c r="C176" s="18" t="s">
        <v>313</v>
      </c>
      <c r="D176" s="18"/>
      <c r="E176" s="18"/>
      <c r="F176" s="18"/>
      <c r="G176" s="18" t="str">
        <f aca="false">IF(COUNT(D176:F176)=3,SUM(D176:F176),"")</f>
        <v/>
      </c>
      <c r="H176" s="9"/>
    </row>
    <row r="177" customFormat="false" ht="15" hidden="false" customHeight="false" outlineLevel="0" collapsed="false">
      <c r="A177" s="18" t="s">
        <v>241</v>
      </c>
      <c r="B177" s="18" t="n">
        <v>5</v>
      </c>
      <c r="C177" s="18" t="s">
        <v>314</v>
      </c>
      <c r="D177" s="18"/>
      <c r="E177" s="18"/>
      <c r="F177" s="18"/>
      <c r="G177" s="18" t="str">
        <f aca="false">IF(COUNT(D177:F177)=3,SUM(D177:F177),"")</f>
        <v/>
      </c>
      <c r="H177" s="9"/>
    </row>
    <row r="178" customFormat="false" ht="15" hidden="false" customHeight="false" outlineLevel="0" collapsed="false">
      <c r="A178" s="18" t="s">
        <v>246</v>
      </c>
      <c r="B178" s="18" t="n">
        <v>5</v>
      </c>
      <c r="C178" s="18" t="s">
        <v>311</v>
      </c>
      <c r="D178" s="18"/>
      <c r="E178" s="18"/>
      <c r="F178" s="18"/>
      <c r="G178" s="18" t="str">
        <f aca="false">IF(COUNT(D178:F178)=3,SUM(D178:F178),"")</f>
        <v/>
      </c>
      <c r="H178" s="9"/>
    </row>
    <row r="179" customFormat="false" ht="15" hidden="false" customHeight="false" outlineLevel="0" collapsed="false">
      <c r="A179" s="18" t="s">
        <v>246</v>
      </c>
      <c r="B179" s="18" t="n">
        <v>5</v>
      </c>
      <c r="C179" s="18" t="s">
        <v>312</v>
      </c>
      <c r="D179" s="18"/>
      <c r="E179" s="18"/>
      <c r="F179" s="18"/>
      <c r="G179" s="18" t="str">
        <f aca="false">IF(COUNT(D179:F179)=3,SUM(D179:F179),"")</f>
        <v/>
      </c>
      <c r="H179" s="9"/>
    </row>
    <row r="180" customFormat="false" ht="15" hidden="false" customHeight="false" outlineLevel="0" collapsed="false">
      <c r="A180" s="18" t="s">
        <v>246</v>
      </c>
      <c r="B180" s="18" t="n">
        <v>5</v>
      </c>
      <c r="C180" s="18" t="s">
        <v>313</v>
      </c>
      <c r="D180" s="18"/>
      <c r="E180" s="18"/>
      <c r="F180" s="18"/>
      <c r="G180" s="18" t="str">
        <f aca="false">IF(COUNT(D180:F180)=3,SUM(D180:F180),"")</f>
        <v/>
      </c>
      <c r="H180" s="9"/>
    </row>
    <row r="181" customFormat="false" ht="15" hidden="false" customHeight="false" outlineLevel="0" collapsed="false">
      <c r="A181" s="18" t="s">
        <v>246</v>
      </c>
      <c r="B181" s="18" t="n">
        <v>5</v>
      </c>
      <c r="C181" s="18" t="s">
        <v>314</v>
      </c>
      <c r="D181" s="18"/>
      <c r="E181" s="18"/>
      <c r="F181" s="18"/>
      <c r="G181" s="18" t="str">
        <f aca="false">IF(COUNT(D181:F181)=3,SUM(D181:F181),"")</f>
        <v/>
      </c>
      <c r="H181" s="9"/>
    </row>
    <row r="182" customFormat="false" ht="15" hidden="false" customHeight="false" outlineLevel="0" collapsed="false">
      <c r="A182" s="18" t="s">
        <v>250</v>
      </c>
      <c r="B182" s="18" t="n">
        <v>5</v>
      </c>
      <c r="C182" s="18" t="s">
        <v>311</v>
      </c>
      <c r="D182" s="18"/>
      <c r="E182" s="18"/>
      <c r="F182" s="18"/>
      <c r="G182" s="18" t="str">
        <f aca="false">IF(COUNT(D182:F182)=3,SUM(D182:F182),"")</f>
        <v/>
      </c>
      <c r="H182" s="9"/>
    </row>
    <row r="183" customFormat="false" ht="15" hidden="false" customHeight="false" outlineLevel="0" collapsed="false">
      <c r="A183" s="18" t="s">
        <v>250</v>
      </c>
      <c r="B183" s="18" t="n">
        <v>5</v>
      </c>
      <c r="C183" s="18" t="s">
        <v>312</v>
      </c>
      <c r="D183" s="18"/>
      <c r="E183" s="18"/>
      <c r="F183" s="18"/>
      <c r="G183" s="18" t="str">
        <f aca="false">IF(COUNT(D183:F183)=3,SUM(D183:F183),"")</f>
        <v/>
      </c>
      <c r="H183" s="9"/>
    </row>
    <row r="184" customFormat="false" ht="15" hidden="false" customHeight="false" outlineLevel="0" collapsed="false">
      <c r="A184" s="18" t="s">
        <v>250</v>
      </c>
      <c r="B184" s="18" t="n">
        <v>5</v>
      </c>
      <c r="C184" s="18" t="s">
        <v>313</v>
      </c>
      <c r="D184" s="18"/>
      <c r="E184" s="18"/>
      <c r="F184" s="18"/>
      <c r="G184" s="18" t="str">
        <f aca="false">IF(COUNT(D184:F184)=3,SUM(D184:F184),"")</f>
        <v/>
      </c>
      <c r="H184" s="9"/>
    </row>
    <row r="185" customFormat="false" ht="15" hidden="false" customHeight="false" outlineLevel="0" collapsed="false">
      <c r="A185" s="18" t="s">
        <v>250</v>
      </c>
      <c r="B185" s="18" t="n">
        <v>5</v>
      </c>
      <c r="C185" s="18" t="s">
        <v>314</v>
      </c>
      <c r="D185" s="18"/>
      <c r="E185" s="18"/>
      <c r="F185" s="18"/>
      <c r="G185" s="18" t="str">
        <f aca="false">IF(COUNT(D185:F185)=3,SUM(D185:F185),"")</f>
        <v/>
      </c>
      <c r="H185" s="9"/>
    </row>
    <row r="186" customFormat="false" ht="15" hidden="false" customHeight="false" outlineLevel="0" collapsed="false">
      <c r="A186" s="18" t="s">
        <v>255</v>
      </c>
      <c r="B186" s="18" t="n">
        <v>5</v>
      </c>
      <c r="C186" s="18" t="s">
        <v>311</v>
      </c>
      <c r="D186" s="18"/>
      <c r="E186" s="18"/>
      <c r="F186" s="18"/>
      <c r="G186" s="18" t="str">
        <f aca="false">IF(COUNT(D186:F186)=3,SUM(D186:F186),"")</f>
        <v/>
      </c>
      <c r="H186" s="9"/>
    </row>
    <row r="187" customFormat="false" ht="15" hidden="false" customHeight="false" outlineLevel="0" collapsed="false">
      <c r="A187" s="18" t="s">
        <v>255</v>
      </c>
      <c r="B187" s="18" t="n">
        <v>5</v>
      </c>
      <c r="C187" s="18" t="s">
        <v>312</v>
      </c>
      <c r="D187" s="18"/>
      <c r="E187" s="18"/>
      <c r="F187" s="18"/>
      <c r="G187" s="18" t="str">
        <f aca="false">IF(COUNT(D187:F187)=3,SUM(D187:F187),"")</f>
        <v/>
      </c>
      <c r="H187" s="9"/>
    </row>
    <row r="188" customFormat="false" ht="15" hidden="false" customHeight="false" outlineLevel="0" collapsed="false">
      <c r="A188" s="18" t="s">
        <v>255</v>
      </c>
      <c r="B188" s="18" t="n">
        <v>5</v>
      </c>
      <c r="C188" s="18" t="s">
        <v>313</v>
      </c>
      <c r="D188" s="18"/>
      <c r="E188" s="18"/>
      <c r="F188" s="18"/>
      <c r="G188" s="18" t="str">
        <f aca="false">IF(COUNT(D188:F188)=3,SUM(D188:F188),"")</f>
        <v/>
      </c>
      <c r="H188" s="9"/>
    </row>
    <row r="189" customFormat="false" ht="15" hidden="false" customHeight="false" outlineLevel="0" collapsed="false">
      <c r="A189" s="18" t="s">
        <v>255</v>
      </c>
      <c r="B189" s="18" t="n">
        <v>5</v>
      </c>
      <c r="C189" s="18" t="s">
        <v>314</v>
      </c>
      <c r="D189" s="18"/>
      <c r="E189" s="18"/>
      <c r="F189" s="18"/>
      <c r="G189" s="18" t="str">
        <f aca="false">IF(COUNT(D189:F189)=3,SUM(D189:F189),"")</f>
        <v/>
      </c>
      <c r="H189" s="9"/>
    </row>
    <row r="190" customFormat="false" ht="15" hidden="false" customHeight="false" outlineLevel="0" collapsed="false">
      <c r="A190" s="18" t="s">
        <v>259</v>
      </c>
      <c r="B190" s="18" t="n">
        <v>5</v>
      </c>
      <c r="C190" s="18" t="s">
        <v>311</v>
      </c>
      <c r="D190" s="18"/>
      <c r="E190" s="18"/>
      <c r="F190" s="18"/>
      <c r="G190" s="18" t="str">
        <f aca="false">IF(COUNT(D190:F190)=3,SUM(D190:F190),"")</f>
        <v/>
      </c>
      <c r="H190" s="9"/>
    </row>
    <row r="191" customFormat="false" ht="15" hidden="false" customHeight="false" outlineLevel="0" collapsed="false">
      <c r="A191" s="18" t="s">
        <v>259</v>
      </c>
      <c r="B191" s="18" t="n">
        <v>5</v>
      </c>
      <c r="C191" s="18" t="s">
        <v>312</v>
      </c>
      <c r="D191" s="18"/>
      <c r="E191" s="18"/>
      <c r="F191" s="18"/>
      <c r="G191" s="18" t="str">
        <f aca="false">IF(COUNT(D191:F191)=3,SUM(D191:F191),"")</f>
        <v/>
      </c>
      <c r="H191" s="9"/>
    </row>
    <row r="192" customFormat="false" ht="15" hidden="false" customHeight="false" outlineLevel="0" collapsed="false">
      <c r="A192" s="18" t="s">
        <v>259</v>
      </c>
      <c r="B192" s="18" t="n">
        <v>5</v>
      </c>
      <c r="C192" s="18" t="s">
        <v>313</v>
      </c>
      <c r="D192" s="18"/>
      <c r="E192" s="18"/>
      <c r="F192" s="18"/>
      <c r="G192" s="18" t="str">
        <f aca="false">IF(COUNT(D192:F192)=3,SUM(D192:F192),"")</f>
        <v/>
      </c>
      <c r="H192" s="9"/>
    </row>
    <row r="193" customFormat="false" ht="15" hidden="false" customHeight="false" outlineLevel="0" collapsed="false">
      <c r="A193" s="18" t="s">
        <v>259</v>
      </c>
      <c r="B193" s="18" t="n">
        <v>5</v>
      </c>
      <c r="C193" s="18" t="s">
        <v>314</v>
      </c>
      <c r="D193" s="18"/>
      <c r="E193" s="18"/>
      <c r="F193" s="18"/>
      <c r="G193" s="18" t="str">
        <f aca="false">IF(COUNT(D193:F193)=3,SUM(D193:F193),"")</f>
        <v/>
      </c>
      <c r="H193" s="9"/>
    </row>
    <row r="194" customFormat="false" ht="15" hidden="false" customHeight="false" outlineLevel="0" collapsed="false">
      <c r="A194" s="18" t="s">
        <v>264</v>
      </c>
      <c r="B194" s="18" t="n">
        <v>5</v>
      </c>
      <c r="C194" s="18" t="s">
        <v>311</v>
      </c>
      <c r="D194" s="18"/>
      <c r="E194" s="18"/>
      <c r="F194" s="18"/>
      <c r="G194" s="18" t="str">
        <f aca="false">IF(COUNT(D194:F194)=3,SUM(D194:F194),"")</f>
        <v/>
      </c>
      <c r="H194" s="9"/>
    </row>
    <row r="195" customFormat="false" ht="15" hidden="false" customHeight="false" outlineLevel="0" collapsed="false">
      <c r="A195" s="18" t="s">
        <v>264</v>
      </c>
      <c r="B195" s="18" t="n">
        <v>5</v>
      </c>
      <c r="C195" s="18" t="s">
        <v>312</v>
      </c>
      <c r="D195" s="18"/>
      <c r="E195" s="18"/>
      <c r="F195" s="18"/>
      <c r="G195" s="18" t="str">
        <f aca="false">IF(COUNT(D195:F195)=3,SUM(D195:F195),"")</f>
        <v/>
      </c>
      <c r="H195" s="9"/>
    </row>
    <row r="196" customFormat="false" ht="15" hidden="false" customHeight="false" outlineLevel="0" collapsed="false">
      <c r="A196" s="18" t="s">
        <v>264</v>
      </c>
      <c r="B196" s="18" t="n">
        <v>5</v>
      </c>
      <c r="C196" s="18" t="s">
        <v>313</v>
      </c>
      <c r="D196" s="18"/>
      <c r="E196" s="18"/>
      <c r="F196" s="18"/>
      <c r="G196" s="18" t="str">
        <f aca="false">IF(COUNT(D196:F196)=3,SUM(D196:F196),"")</f>
        <v/>
      </c>
      <c r="H196" s="9"/>
    </row>
    <row r="197" customFormat="false" ht="15" hidden="false" customHeight="false" outlineLevel="0" collapsed="false">
      <c r="A197" s="18" t="s">
        <v>264</v>
      </c>
      <c r="B197" s="18" t="n">
        <v>5</v>
      </c>
      <c r="C197" s="18" t="s">
        <v>314</v>
      </c>
      <c r="D197" s="18"/>
      <c r="E197" s="18"/>
      <c r="F197" s="18"/>
      <c r="G197" s="18" t="str">
        <f aca="false">IF(COUNT(D197:F197)=3,SUM(D197:F197),"")</f>
        <v/>
      </c>
      <c r="H197" s="9"/>
    </row>
    <row r="198" customFormat="false" ht="15" hidden="false" customHeight="false" outlineLevel="0" collapsed="false">
      <c r="A198" s="18" t="s">
        <v>269</v>
      </c>
      <c r="B198" s="18" t="n">
        <v>5</v>
      </c>
      <c r="C198" s="18" t="s">
        <v>311</v>
      </c>
      <c r="D198" s="18"/>
      <c r="E198" s="18"/>
      <c r="F198" s="18"/>
      <c r="G198" s="18" t="str">
        <f aca="false">IF(COUNT(D198:F198)=3,SUM(D198:F198),"")</f>
        <v/>
      </c>
      <c r="H198" s="9"/>
    </row>
    <row r="199" customFormat="false" ht="15" hidden="false" customHeight="false" outlineLevel="0" collapsed="false">
      <c r="A199" s="18" t="s">
        <v>269</v>
      </c>
      <c r="B199" s="18" t="n">
        <v>5</v>
      </c>
      <c r="C199" s="18" t="s">
        <v>312</v>
      </c>
      <c r="D199" s="18"/>
      <c r="E199" s="18"/>
      <c r="F199" s="18"/>
      <c r="G199" s="18" t="str">
        <f aca="false">IF(COUNT(D199:F199)=3,SUM(D199:F199),"")</f>
        <v/>
      </c>
      <c r="H199" s="9"/>
    </row>
    <row r="200" customFormat="false" ht="15" hidden="false" customHeight="false" outlineLevel="0" collapsed="false">
      <c r="A200" s="18" t="s">
        <v>269</v>
      </c>
      <c r="B200" s="18" t="n">
        <v>5</v>
      </c>
      <c r="C200" s="18" t="s">
        <v>313</v>
      </c>
      <c r="D200" s="18"/>
      <c r="E200" s="18"/>
      <c r="F200" s="18"/>
      <c r="G200" s="18" t="str">
        <f aca="false">IF(COUNT(D200:F200)=3,SUM(D200:F200),"")</f>
        <v/>
      </c>
      <c r="H200" s="9"/>
    </row>
    <row r="201" customFormat="false" ht="15" hidden="false" customHeight="false" outlineLevel="0" collapsed="false">
      <c r="A201" s="18" t="s">
        <v>269</v>
      </c>
      <c r="B201" s="18" t="n">
        <v>5</v>
      </c>
      <c r="C201" s="18" t="s">
        <v>314</v>
      </c>
      <c r="D201" s="18"/>
      <c r="E201" s="18"/>
      <c r="F201" s="18"/>
      <c r="G201" s="18" t="str">
        <f aca="false">IF(COUNT(D201:F201)=3,SUM(D201:F201),"")</f>
        <v/>
      </c>
      <c r="H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5" min="4" style="0" width="15"/>
    <col collapsed="false" customWidth="true" hidden="false" outlineLevel="0" max="6" min="6" style="0" width="18"/>
    <col collapsed="false" customWidth="true" hidden="false" outlineLevel="0" max="7" min="7" style="0" width="11"/>
    <col collapsed="false" customWidth="true" hidden="false" outlineLevel="0" max="8" min="8" style="0" width="46"/>
  </cols>
  <sheetData>
    <row r="1" customFormat="false" ht="30" hidden="false" customHeight="true" outlineLevel="0" collapsed="false">
      <c r="A1" s="6" t="s">
        <v>46</v>
      </c>
      <c r="B1" s="6" t="s">
        <v>47</v>
      </c>
      <c r="C1" s="6" t="s">
        <v>308</v>
      </c>
      <c r="D1" s="6" t="s">
        <v>315</v>
      </c>
      <c r="E1" s="6" t="s">
        <v>316</v>
      </c>
      <c r="F1" s="6" t="s">
        <v>317</v>
      </c>
      <c r="G1" s="6" t="s">
        <v>318</v>
      </c>
      <c r="H1" s="6" t="s">
        <v>319</v>
      </c>
    </row>
    <row r="2" customFormat="false" ht="15" hidden="false" customHeight="false" outlineLevel="0" collapsed="false">
      <c r="A2" s="18" t="s">
        <v>55</v>
      </c>
      <c r="B2" s="18" t="n">
        <v>1</v>
      </c>
      <c r="C2" s="18" t="s">
        <v>311</v>
      </c>
      <c r="D2" s="18"/>
      <c r="E2" s="18"/>
      <c r="F2" s="18"/>
      <c r="G2" s="18" t="str">
        <f aca="false">IF(COUNT(D2:F2)=3,SUM(D2:F2),"")</f>
        <v/>
      </c>
      <c r="H2" s="9"/>
    </row>
    <row r="3" customFormat="false" ht="15" hidden="false" customHeight="false" outlineLevel="0" collapsed="false">
      <c r="A3" s="18" t="s">
        <v>55</v>
      </c>
      <c r="B3" s="18" t="n">
        <v>1</v>
      </c>
      <c r="C3" s="18" t="s">
        <v>312</v>
      </c>
      <c r="D3" s="18"/>
      <c r="E3" s="18"/>
      <c r="F3" s="18"/>
      <c r="G3" s="18" t="str">
        <f aca="false">IF(COUNT(D3:F3)=3,SUM(D3:F3),"")</f>
        <v/>
      </c>
      <c r="H3" s="9"/>
    </row>
    <row r="4" customFormat="false" ht="15" hidden="false" customHeight="false" outlineLevel="0" collapsed="false">
      <c r="A4" s="18" t="s">
        <v>55</v>
      </c>
      <c r="B4" s="18" t="n">
        <v>1</v>
      </c>
      <c r="C4" s="18" t="s">
        <v>313</v>
      </c>
      <c r="D4" s="18"/>
      <c r="E4" s="18"/>
      <c r="F4" s="18"/>
      <c r="G4" s="18" t="str">
        <f aca="false">IF(COUNT(D4:F4)=3,SUM(D4:F4),"")</f>
        <v/>
      </c>
      <c r="H4" s="9"/>
    </row>
    <row r="5" customFormat="false" ht="15" hidden="false" customHeight="false" outlineLevel="0" collapsed="false">
      <c r="A5" s="18" t="s">
        <v>55</v>
      </c>
      <c r="B5" s="18" t="n">
        <v>1</v>
      </c>
      <c r="C5" s="18" t="s">
        <v>314</v>
      </c>
      <c r="D5" s="18"/>
      <c r="E5" s="18"/>
      <c r="F5" s="18"/>
      <c r="G5" s="18" t="str">
        <f aca="false">IF(COUNT(D5:F5)=3,SUM(D5:F5),"")</f>
        <v/>
      </c>
      <c r="H5" s="9"/>
    </row>
    <row r="6" customFormat="false" ht="15" hidden="false" customHeight="false" outlineLevel="0" collapsed="false">
      <c r="A6" s="18" t="s">
        <v>63</v>
      </c>
      <c r="B6" s="18" t="n">
        <v>1</v>
      </c>
      <c r="C6" s="18" t="s">
        <v>311</v>
      </c>
      <c r="D6" s="18"/>
      <c r="E6" s="18"/>
      <c r="F6" s="18"/>
      <c r="G6" s="18" t="str">
        <f aca="false">IF(COUNT(D6:F6)=3,SUM(D6:F6),"")</f>
        <v/>
      </c>
      <c r="H6" s="9"/>
    </row>
    <row r="7" customFormat="false" ht="15" hidden="false" customHeight="false" outlineLevel="0" collapsed="false">
      <c r="A7" s="18" t="s">
        <v>63</v>
      </c>
      <c r="B7" s="18" t="n">
        <v>1</v>
      </c>
      <c r="C7" s="18" t="s">
        <v>312</v>
      </c>
      <c r="D7" s="18"/>
      <c r="E7" s="18"/>
      <c r="F7" s="18"/>
      <c r="G7" s="18" t="str">
        <f aca="false">IF(COUNT(D7:F7)=3,SUM(D7:F7),"")</f>
        <v/>
      </c>
      <c r="H7" s="9"/>
    </row>
    <row r="8" customFormat="false" ht="15" hidden="false" customHeight="false" outlineLevel="0" collapsed="false">
      <c r="A8" s="18" t="s">
        <v>63</v>
      </c>
      <c r="B8" s="18" t="n">
        <v>1</v>
      </c>
      <c r="C8" s="18" t="s">
        <v>313</v>
      </c>
      <c r="D8" s="18"/>
      <c r="E8" s="18"/>
      <c r="F8" s="18"/>
      <c r="G8" s="18" t="str">
        <f aca="false">IF(COUNT(D8:F8)=3,SUM(D8:F8),"")</f>
        <v/>
      </c>
      <c r="H8" s="9"/>
    </row>
    <row r="9" customFormat="false" ht="15" hidden="false" customHeight="false" outlineLevel="0" collapsed="false">
      <c r="A9" s="18" t="s">
        <v>63</v>
      </c>
      <c r="B9" s="18" t="n">
        <v>1</v>
      </c>
      <c r="C9" s="18" t="s">
        <v>314</v>
      </c>
      <c r="D9" s="18"/>
      <c r="E9" s="18"/>
      <c r="F9" s="18"/>
      <c r="G9" s="18" t="str">
        <f aca="false">IF(COUNT(D9:F9)=3,SUM(D9:F9),"")</f>
        <v/>
      </c>
      <c r="H9" s="9"/>
    </row>
    <row r="10" customFormat="false" ht="15" hidden="false" customHeight="false" outlineLevel="0" collapsed="false">
      <c r="A10" s="18" t="s">
        <v>67</v>
      </c>
      <c r="B10" s="18" t="n">
        <v>1</v>
      </c>
      <c r="C10" s="18" t="s">
        <v>311</v>
      </c>
      <c r="D10" s="18"/>
      <c r="E10" s="18"/>
      <c r="F10" s="18"/>
      <c r="G10" s="18" t="str">
        <f aca="false">IF(COUNT(D10:F10)=3,SUM(D10:F10),"")</f>
        <v/>
      </c>
      <c r="H10" s="9"/>
    </row>
    <row r="11" customFormat="false" ht="15" hidden="false" customHeight="false" outlineLevel="0" collapsed="false">
      <c r="A11" s="18" t="s">
        <v>67</v>
      </c>
      <c r="B11" s="18" t="n">
        <v>1</v>
      </c>
      <c r="C11" s="18" t="s">
        <v>312</v>
      </c>
      <c r="D11" s="18"/>
      <c r="E11" s="18"/>
      <c r="F11" s="18"/>
      <c r="G11" s="18" t="str">
        <f aca="false">IF(COUNT(D11:F11)=3,SUM(D11:F11),"")</f>
        <v/>
      </c>
      <c r="H11" s="9"/>
    </row>
    <row r="12" customFormat="false" ht="15" hidden="false" customHeight="false" outlineLevel="0" collapsed="false">
      <c r="A12" s="18" t="s">
        <v>67</v>
      </c>
      <c r="B12" s="18" t="n">
        <v>1</v>
      </c>
      <c r="C12" s="18" t="s">
        <v>313</v>
      </c>
      <c r="D12" s="18"/>
      <c r="E12" s="18"/>
      <c r="F12" s="18"/>
      <c r="G12" s="18" t="str">
        <f aca="false">IF(COUNT(D12:F12)=3,SUM(D12:F12),"")</f>
        <v/>
      </c>
      <c r="H12" s="9"/>
    </row>
    <row r="13" customFormat="false" ht="15" hidden="false" customHeight="false" outlineLevel="0" collapsed="false">
      <c r="A13" s="18" t="s">
        <v>67</v>
      </c>
      <c r="B13" s="18" t="n">
        <v>1</v>
      </c>
      <c r="C13" s="18" t="s">
        <v>314</v>
      </c>
      <c r="D13" s="18"/>
      <c r="E13" s="18"/>
      <c r="F13" s="18"/>
      <c r="G13" s="18" t="str">
        <f aca="false">IF(COUNT(D13:F13)=3,SUM(D13:F13),"")</f>
        <v/>
      </c>
      <c r="H13" s="9"/>
    </row>
    <row r="14" customFormat="false" ht="15" hidden="false" customHeight="false" outlineLevel="0" collapsed="false">
      <c r="A14" s="18" t="s">
        <v>73</v>
      </c>
      <c r="B14" s="18" t="n">
        <v>1</v>
      </c>
      <c r="C14" s="18" t="s">
        <v>311</v>
      </c>
      <c r="D14" s="18"/>
      <c r="E14" s="18"/>
      <c r="F14" s="18"/>
      <c r="G14" s="18" t="str">
        <f aca="false">IF(COUNT(D14:F14)=3,SUM(D14:F14),"")</f>
        <v/>
      </c>
      <c r="H14" s="9"/>
    </row>
    <row r="15" customFormat="false" ht="15" hidden="false" customHeight="false" outlineLevel="0" collapsed="false">
      <c r="A15" s="18" t="s">
        <v>73</v>
      </c>
      <c r="B15" s="18" t="n">
        <v>1</v>
      </c>
      <c r="C15" s="18" t="s">
        <v>312</v>
      </c>
      <c r="D15" s="18"/>
      <c r="E15" s="18"/>
      <c r="F15" s="18"/>
      <c r="G15" s="18" t="str">
        <f aca="false">IF(COUNT(D15:F15)=3,SUM(D15:F15),"")</f>
        <v/>
      </c>
      <c r="H15" s="9"/>
    </row>
    <row r="16" customFormat="false" ht="15" hidden="false" customHeight="false" outlineLevel="0" collapsed="false">
      <c r="A16" s="18" t="s">
        <v>73</v>
      </c>
      <c r="B16" s="18" t="n">
        <v>1</v>
      </c>
      <c r="C16" s="18" t="s">
        <v>313</v>
      </c>
      <c r="D16" s="18"/>
      <c r="E16" s="18"/>
      <c r="F16" s="18"/>
      <c r="G16" s="18" t="str">
        <f aca="false">IF(COUNT(D16:F16)=3,SUM(D16:F16),"")</f>
        <v/>
      </c>
      <c r="H16" s="9"/>
    </row>
    <row r="17" customFormat="false" ht="15" hidden="false" customHeight="false" outlineLevel="0" collapsed="false">
      <c r="A17" s="18" t="s">
        <v>73</v>
      </c>
      <c r="B17" s="18" t="n">
        <v>1</v>
      </c>
      <c r="C17" s="18" t="s">
        <v>314</v>
      </c>
      <c r="D17" s="18"/>
      <c r="E17" s="18"/>
      <c r="F17" s="18"/>
      <c r="G17" s="18" t="str">
        <f aca="false">IF(COUNT(D17:F17)=3,SUM(D17:F17),"")</f>
        <v/>
      </c>
      <c r="H17" s="9"/>
    </row>
    <row r="18" customFormat="false" ht="15" hidden="false" customHeight="false" outlineLevel="0" collapsed="false">
      <c r="A18" s="18" t="s">
        <v>77</v>
      </c>
      <c r="B18" s="18" t="n">
        <v>1</v>
      </c>
      <c r="C18" s="18" t="s">
        <v>311</v>
      </c>
      <c r="D18" s="18"/>
      <c r="E18" s="18"/>
      <c r="F18" s="18"/>
      <c r="G18" s="18" t="str">
        <f aca="false">IF(COUNT(D18:F18)=3,SUM(D18:F18),"")</f>
        <v/>
      </c>
      <c r="H18" s="9"/>
    </row>
    <row r="19" customFormat="false" ht="15" hidden="false" customHeight="false" outlineLevel="0" collapsed="false">
      <c r="A19" s="18" t="s">
        <v>77</v>
      </c>
      <c r="B19" s="18" t="n">
        <v>1</v>
      </c>
      <c r="C19" s="18" t="s">
        <v>312</v>
      </c>
      <c r="D19" s="18"/>
      <c r="E19" s="18"/>
      <c r="F19" s="18"/>
      <c r="G19" s="18" t="str">
        <f aca="false">IF(COUNT(D19:F19)=3,SUM(D19:F19),"")</f>
        <v/>
      </c>
      <c r="H19" s="9"/>
    </row>
    <row r="20" customFormat="false" ht="15" hidden="false" customHeight="false" outlineLevel="0" collapsed="false">
      <c r="A20" s="18" t="s">
        <v>77</v>
      </c>
      <c r="B20" s="18" t="n">
        <v>1</v>
      </c>
      <c r="C20" s="18" t="s">
        <v>313</v>
      </c>
      <c r="D20" s="18"/>
      <c r="E20" s="18"/>
      <c r="F20" s="18"/>
      <c r="G20" s="18" t="str">
        <f aca="false">IF(COUNT(D20:F20)=3,SUM(D20:F20),"")</f>
        <v/>
      </c>
      <c r="H20" s="9"/>
    </row>
    <row r="21" customFormat="false" ht="15" hidden="false" customHeight="false" outlineLevel="0" collapsed="false">
      <c r="A21" s="18" t="s">
        <v>77</v>
      </c>
      <c r="B21" s="18" t="n">
        <v>1</v>
      </c>
      <c r="C21" s="18" t="s">
        <v>314</v>
      </c>
      <c r="D21" s="18"/>
      <c r="E21" s="18"/>
      <c r="F21" s="18"/>
      <c r="G21" s="18" t="str">
        <f aca="false">IF(COUNT(D21:F21)=3,SUM(D21:F21),"")</f>
        <v/>
      </c>
      <c r="H21" s="9"/>
    </row>
    <row r="22" customFormat="false" ht="15" hidden="false" customHeight="false" outlineLevel="0" collapsed="false">
      <c r="A22" s="18" t="s">
        <v>81</v>
      </c>
      <c r="B22" s="18" t="n">
        <v>1</v>
      </c>
      <c r="C22" s="18" t="s">
        <v>311</v>
      </c>
      <c r="D22" s="18"/>
      <c r="E22" s="18"/>
      <c r="F22" s="18"/>
      <c r="G22" s="18" t="str">
        <f aca="false">IF(COUNT(D22:F22)=3,SUM(D22:F22),"")</f>
        <v/>
      </c>
      <c r="H22" s="9"/>
    </row>
    <row r="23" customFormat="false" ht="15" hidden="false" customHeight="false" outlineLevel="0" collapsed="false">
      <c r="A23" s="18" t="s">
        <v>81</v>
      </c>
      <c r="B23" s="18" t="n">
        <v>1</v>
      </c>
      <c r="C23" s="18" t="s">
        <v>312</v>
      </c>
      <c r="D23" s="18"/>
      <c r="E23" s="18"/>
      <c r="F23" s="18"/>
      <c r="G23" s="18" t="str">
        <f aca="false">IF(COUNT(D23:F23)=3,SUM(D23:F23),"")</f>
        <v/>
      </c>
      <c r="H23" s="9"/>
    </row>
    <row r="24" customFormat="false" ht="15" hidden="false" customHeight="false" outlineLevel="0" collapsed="false">
      <c r="A24" s="18" t="s">
        <v>81</v>
      </c>
      <c r="B24" s="18" t="n">
        <v>1</v>
      </c>
      <c r="C24" s="18" t="s">
        <v>313</v>
      </c>
      <c r="D24" s="18"/>
      <c r="E24" s="18"/>
      <c r="F24" s="18"/>
      <c r="G24" s="18" t="str">
        <f aca="false">IF(COUNT(D24:F24)=3,SUM(D24:F24),"")</f>
        <v/>
      </c>
      <c r="H24" s="9"/>
    </row>
    <row r="25" customFormat="false" ht="15" hidden="false" customHeight="false" outlineLevel="0" collapsed="false">
      <c r="A25" s="18" t="s">
        <v>81</v>
      </c>
      <c r="B25" s="18" t="n">
        <v>1</v>
      </c>
      <c r="C25" s="18" t="s">
        <v>314</v>
      </c>
      <c r="D25" s="18"/>
      <c r="E25" s="18"/>
      <c r="F25" s="18"/>
      <c r="G25" s="18" t="str">
        <f aca="false">IF(COUNT(D25:F25)=3,SUM(D25:F25),"")</f>
        <v/>
      </c>
      <c r="H25" s="9"/>
    </row>
    <row r="26" customFormat="false" ht="15" hidden="false" customHeight="false" outlineLevel="0" collapsed="false">
      <c r="A26" s="18" t="s">
        <v>85</v>
      </c>
      <c r="B26" s="18" t="n">
        <v>1</v>
      </c>
      <c r="C26" s="18" t="s">
        <v>311</v>
      </c>
      <c r="D26" s="18"/>
      <c r="E26" s="18"/>
      <c r="F26" s="18"/>
      <c r="G26" s="18" t="str">
        <f aca="false">IF(COUNT(D26:F26)=3,SUM(D26:F26),"")</f>
        <v/>
      </c>
      <c r="H26" s="9"/>
    </row>
    <row r="27" customFormat="false" ht="15" hidden="false" customHeight="false" outlineLevel="0" collapsed="false">
      <c r="A27" s="18" t="s">
        <v>85</v>
      </c>
      <c r="B27" s="18" t="n">
        <v>1</v>
      </c>
      <c r="C27" s="18" t="s">
        <v>312</v>
      </c>
      <c r="D27" s="18"/>
      <c r="E27" s="18"/>
      <c r="F27" s="18"/>
      <c r="G27" s="18" t="str">
        <f aca="false">IF(COUNT(D27:F27)=3,SUM(D27:F27),"")</f>
        <v/>
      </c>
      <c r="H27" s="9"/>
    </row>
    <row r="28" customFormat="false" ht="15" hidden="false" customHeight="false" outlineLevel="0" collapsed="false">
      <c r="A28" s="18" t="s">
        <v>85</v>
      </c>
      <c r="B28" s="18" t="n">
        <v>1</v>
      </c>
      <c r="C28" s="18" t="s">
        <v>313</v>
      </c>
      <c r="D28" s="18"/>
      <c r="E28" s="18"/>
      <c r="F28" s="18"/>
      <c r="G28" s="18" t="str">
        <f aca="false">IF(COUNT(D28:F28)=3,SUM(D28:F28),"")</f>
        <v/>
      </c>
      <c r="H28" s="9"/>
    </row>
    <row r="29" customFormat="false" ht="15" hidden="false" customHeight="false" outlineLevel="0" collapsed="false">
      <c r="A29" s="18" t="s">
        <v>85</v>
      </c>
      <c r="B29" s="18" t="n">
        <v>1</v>
      </c>
      <c r="C29" s="18" t="s">
        <v>314</v>
      </c>
      <c r="D29" s="18"/>
      <c r="E29" s="18"/>
      <c r="F29" s="18"/>
      <c r="G29" s="18" t="str">
        <f aca="false">IF(COUNT(D29:F29)=3,SUM(D29:F29),"")</f>
        <v/>
      </c>
      <c r="H29" s="9"/>
    </row>
    <row r="30" customFormat="false" ht="15" hidden="false" customHeight="false" outlineLevel="0" collapsed="false">
      <c r="A30" s="18" t="s">
        <v>89</v>
      </c>
      <c r="B30" s="18" t="n">
        <v>1</v>
      </c>
      <c r="C30" s="18" t="s">
        <v>311</v>
      </c>
      <c r="D30" s="18"/>
      <c r="E30" s="18"/>
      <c r="F30" s="18"/>
      <c r="G30" s="18" t="str">
        <f aca="false">IF(COUNT(D30:F30)=3,SUM(D30:F30),"")</f>
        <v/>
      </c>
      <c r="H30" s="9"/>
    </row>
    <row r="31" customFormat="false" ht="15" hidden="false" customHeight="false" outlineLevel="0" collapsed="false">
      <c r="A31" s="18" t="s">
        <v>89</v>
      </c>
      <c r="B31" s="18" t="n">
        <v>1</v>
      </c>
      <c r="C31" s="18" t="s">
        <v>312</v>
      </c>
      <c r="D31" s="18"/>
      <c r="E31" s="18"/>
      <c r="F31" s="18"/>
      <c r="G31" s="18" t="str">
        <f aca="false">IF(COUNT(D31:F31)=3,SUM(D31:F31),"")</f>
        <v/>
      </c>
      <c r="H31" s="9"/>
    </row>
    <row r="32" customFormat="false" ht="15" hidden="false" customHeight="false" outlineLevel="0" collapsed="false">
      <c r="A32" s="18" t="s">
        <v>89</v>
      </c>
      <c r="B32" s="18" t="n">
        <v>1</v>
      </c>
      <c r="C32" s="18" t="s">
        <v>313</v>
      </c>
      <c r="D32" s="18"/>
      <c r="E32" s="18"/>
      <c r="F32" s="18"/>
      <c r="G32" s="18" t="str">
        <f aca="false">IF(COUNT(D32:F32)=3,SUM(D32:F32),"")</f>
        <v/>
      </c>
      <c r="H32" s="9"/>
    </row>
    <row r="33" customFormat="false" ht="15" hidden="false" customHeight="false" outlineLevel="0" collapsed="false">
      <c r="A33" s="18" t="s">
        <v>89</v>
      </c>
      <c r="B33" s="18" t="n">
        <v>1</v>
      </c>
      <c r="C33" s="18" t="s">
        <v>314</v>
      </c>
      <c r="D33" s="18"/>
      <c r="E33" s="18"/>
      <c r="F33" s="18"/>
      <c r="G33" s="18" t="str">
        <f aca="false">IF(COUNT(D33:F33)=3,SUM(D33:F33),"")</f>
        <v/>
      </c>
      <c r="H33" s="9"/>
    </row>
    <row r="34" customFormat="false" ht="15" hidden="false" customHeight="false" outlineLevel="0" collapsed="false">
      <c r="A34" s="18" t="s">
        <v>93</v>
      </c>
      <c r="B34" s="18" t="n">
        <v>1</v>
      </c>
      <c r="C34" s="18" t="s">
        <v>311</v>
      </c>
      <c r="D34" s="18"/>
      <c r="E34" s="18"/>
      <c r="F34" s="18"/>
      <c r="G34" s="18" t="str">
        <f aca="false">IF(COUNT(D34:F34)=3,SUM(D34:F34),"")</f>
        <v/>
      </c>
      <c r="H34" s="9"/>
    </row>
    <row r="35" customFormat="false" ht="15" hidden="false" customHeight="false" outlineLevel="0" collapsed="false">
      <c r="A35" s="18" t="s">
        <v>93</v>
      </c>
      <c r="B35" s="18" t="n">
        <v>1</v>
      </c>
      <c r="C35" s="18" t="s">
        <v>312</v>
      </c>
      <c r="D35" s="18"/>
      <c r="E35" s="18"/>
      <c r="F35" s="18"/>
      <c r="G35" s="18" t="str">
        <f aca="false">IF(COUNT(D35:F35)=3,SUM(D35:F35),"")</f>
        <v/>
      </c>
      <c r="H35" s="9"/>
    </row>
    <row r="36" customFormat="false" ht="15" hidden="false" customHeight="false" outlineLevel="0" collapsed="false">
      <c r="A36" s="18" t="s">
        <v>93</v>
      </c>
      <c r="B36" s="18" t="n">
        <v>1</v>
      </c>
      <c r="C36" s="18" t="s">
        <v>313</v>
      </c>
      <c r="D36" s="18"/>
      <c r="E36" s="18"/>
      <c r="F36" s="18"/>
      <c r="G36" s="18" t="str">
        <f aca="false">IF(COUNT(D36:F36)=3,SUM(D36:F36),"")</f>
        <v/>
      </c>
      <c r="H36" s="9"/>
    </row>
    <row r="37" customFormat="false" ht="15" hidden="false" customHeight="false" outlineLevel="0" collapsed="false">
      <c r="A37" s="18" t="s">
        <v>93</v>
      </c>
      <c r="B37" s="18" t="n">
        <v>1</v>
      </c>
      <c r="C37" s="18" t="s">
        <v>314</v>
      </c>
      <c r="D37" s="18"/>
      <c r="E37" s="18"/>
      <c r="F37" s="18"/>
      <c r="G37" s="18" t="str">
        <f aca="false">IF(COUNT(D37:F37)=3,SUM(D37:F37),"")</f>
        <v/>
      </c>
      <c r="H37" s="9"/>
    </row>
    <row r="38" customFormat="false" ht="15" hidden="false" customHeight="false" outlineLevel="0" collapsed="false">
      <c r="A38" s="18" t="s">
        <v>98</v>
      </c>
      <c r="B38" s="18" t="n">
        <v>1</v>
      </c>
      <c r="C38" s="18" t="s">
        <v>311</v>
      </c>
      <c r="D38" s="18"/>
      <c r="E38" s="18"/>
      <c r="F38" s="18"/>
      <c r="G38" s="18" t="str">
        <f aca="false">IF(COUNT(D38:F38)=3,SUM(D38:F38),"")</f>
        <v/>
      </c>
      <c r="H38" s="9"/>
    </row>
    <row r="39" customFormat="false" ht="15" hidden="false" customHeight="false" outlineLevel="0" collapsed="false">
      <c r="A39" s="18" t="s">
        <v>98</v>
      </c>
      <c r="B39" s="18" t="n">
        <v>1</v>
      </c>
      <c r="C39" s="18" t="s">
        <v>312</v>
      </c>
      <c r="D39" s="18"/>
      <c r="E39" s="18"/>
      <c r="F39" s="18"/>
      <c r="G39" s="18" t="str">
        <f aca="false">IF(COUNT(D39:F39)=3,SUM(D39:F39),"")</f>
        <v/>
      </c>
      <c r="H39" s="9"/>
    </row>
    <row r="40" customFormat="false" ht="15" hidden="false" customHeight="false" outlineLevel="0" collapsed="false">
      <c r="A40" s="18" t="s">
        <v>98</v>
      </c>
      <c r="B40" s="18" t="n">
        <v>1</v>
      </c>
      <c r="C40" s="18" t="s">
        <v>313</v>
      </c>
      <c r="D40" s="18"/>
      <c r="E40" s="18"/>
      <c r="F40" s="18"/>
      <c r="G40" s="18" t="str">
        <f aca="false">IF(COUNT(D40:F40)=3,SUM(D40:F40),"")</f>
        <v/>
      </c>
      <c r="H40" s="9"/>
    </row>
    <row r="41" customFormat="false" ht="15" hidden="false" customHeight="false" outlineLevel="0" collapsed="false">
      <c r="A41" s="18" t="s">
        <v>98</v>
      </c>
      <c r="B41" s="18" t="n">
        <v>1</v>
      </c>
      <c r="C41" s="18" t="s">
        <v>314</v>
      </c>
      <c r="D41" s="18"/>
      <c r="E41" s="18"/>
      <c r="F41" s="18"/>
      <c r="G41" s="18" t="str">
        <f aca="false">IF(COUNT(D41:F41)=3,SUM(D41:F41),"")</f>
        <v/>
      </c>
      <c r="H41" s="9"/>
    </row>
    <row r="42" customFormat="false" ht="15" hidden="false" customHeight="false" outlineLevel="0" collapsed="false">
      <c r="A42" s="18" t="s">
        <v>102</v>
      </c>
      <c r="B42" s="18" t="n">
        <v>2</v>
      </c>
      <c r="C42" s="18" t="s">
        <v>311</v>
      </c>
      <c r="D42" s="18"/>
      <c r="E42" s="18"/>
      <c r="F42" s="18"/>
      <c r="G42" s="18" t="str">
        <f aca="false">IF(COUNT(D42:F42)=3,SUM(D42:F42),"")</f>
        <v/>
      </c>
      <c r="H42" s="9"/>
    </row>
    <row r="43" customFormat="false" ht="15" hidden="false" customHeight="false" outlineLevel="0" collapsed="false">
      <c r="A43" s="18" t="s">
        <v>102</v>
      </c>
      <c r="B43" s="18" t="n">
        <v>2</v>
      </c>
      <c r="C43" s="18" t="s">
        <v>312</v>
      </c>
      <c r="D43" s="18"/>
      <c r="E43" s="18"/>
      <c r="F43" s="18"/>
      <c r="G43" s="18" t="str">
        <f aca="false">IF(COUNT(D43:F43)=3,SUM(D43:F43),"")</f>
        <v/>
      </c>
      <c r="H43" s="9"/>
    </row>
    <row r="44" customFormat="false" ht="15" hidden="false" customHeight="false" outlineLevel="0" collapsed="false">
      <c r="A44" s="18" t="s">
        <v>102</v>
      </c>
      <c r="B44" s="18" t="n">
        <v>2</v>
      </c>
      <c r="C44" s="18" t="s">
        <v>313</v>
      </c>
      <c r="D44" s="18"/>
      <c r="E44" s="18"/>
      <c r="F44" s="18"/>
      <c r="G44" s="18" t="str">
        <f aca="false">IF(COUNT(D44:F44)=3,SUM(D44:F44),"")</f>
        <v/>
      </c>
      <c r="H44" s="9"/>
    </row>
    <row r="45" customFormat="false" ht="15" hidden="false" customHeight="false" outlineLevel="0" collapsed="false">
      <c r="A45" s="18" t="s">
        <v>102</v>
      </c>
      <c r="B45" s="18" t="n">
        <v>2</v>
      </c>
      <c r="C45" s="18" t="s">
        <v>314</v>
      </c>
      <c r="D45" s="18"/>
      <c r="E45" s="18"/>
      <c r="F45" s="18"/>
      <c r="G45" s="18" t="str">
        <f aca="false">IF(COUNT(D45:F45)=3,SUM(D45:F45),"")</f>
        <v/>
      </c>
      <c r="H45" s="9"/>
    </row>
    <row r="46" customFormat="false" ht="15" hidden="false" customHeight="false" outlineLevel="0" collapsed="false">
      <c r="A46" s="18" t="s">
        <v>107</v>
      </c>
      <c r="B46" s="18" t="n">
        <v>2</v>
      </c>
      <c r="C46" s="18" t="s">
        <v>311</v>
      </c>
      <c r="D46" s="18"/>
      <c r="E46" s="18"/>
      <c r="F46" s="18"/>
      <c r="G46" s="18" t="str">
        <f aca="false">IF(COUNT(D46:F46)=3,SUM(D46:F46),"")</f>
        <v/>
      </c>
      <c r="H46" s="9"/>
    </row>
    <row r="47" customFormat="false" ht="15" hidden="false" customHeight="false" outlineLevel="0" collapsed="false">
      <c r="A47" s="18" t="s">
        <v>107</v>
      </c>
      <c r="B47" s="18" t="n">
        <v>2</v>
      </c>
      <c r="C47" s="18" t="s">
        <v>312</v>
      </c>
      <c r="D47" s="18"/>
      <c r="E47" s="18"/>
      <c r="F47" s="18"/>
      <c r="G47" s="18" t="str">
        <f aca="false">IF(COUNT(D47:F47)=3,SUM(D47:F47),"")</f>
        <v/>
      </c>
      <c r="H47" s="9"/>
    </row>
    <row r="48" customFormat="false" ht="15" hidden="false" customHeight="false" outlineLevel="0" collapsed="false">
      <c r="A48" s="18" t="s">
        <v>107</v>
      </c>
      <c r="B48" s="18" t="n">
        <v>2</v>
      </c>
      <c r="C48" s="18" t="s">
        <v>313</v>
      </c>
      <c r="D48" s="18"/>
      <c r="E48" s="18"/>
      <c r="F48" s="18"/>
      <c r="G48" s="18" t="str">
        <f aca="false">IF(COUNT(D48:F48)=3,SUM(D48:F48),"")</f>
        <v/>
      </c>
      <c r="H48" s="9"/>
    </row>
    <row r="49" customFormat="false" ht="15" hidden="false" customHeight="false" outlineLevel="0" collapsed="false">
      <c r="A49" s="18" t="s">
        <v>107</v>
      </c>
      <c r="B49" s="18" t="n">
        <v>2</v>
      </c>
      <c r="C49" s="18" t="s">
        <v>314</v>
      </c>
      <c r="D49" s="18"/>
      <c r="E49" s="18"/>
      <c r="F49" s="18"/>
      <c r="G49" s="18" t="str">
        <f aca="false">IF(COUNT(D49:F49)=3,SUM(D49:F49),"")</f>
        <v/>
      </c>
      <c r="H49" s="9"/>
    </row>
    <row r="50" customFormat="false" ht="15" hidden="false" customHeight="false" outlineLevel="0" collapsed="false">
      <c r="A50" s="18" t="s">
        <v>111</v>
      </c>
      <c r="B50" s="18" t="n">
        <v>2</v>
      </c>
      <c r="C50" s="18" t="s">
        <v>311</v>
      </c>
      <c r="D50" s="18"/>
      <c r="E50" s="18"/>
      <c r="F50" s="18"/>
      <c r="G50" s="18" t="str">
        <f aca="false">IF(COUNT(D50:F50)=3,SUM(D50:F50),"")</f>
        <v/>
      </c>
      <c r="H50" s="9"/>
    </row>
    <row r="51" customFormat="false" ht="15" hidden="false" customHeight="false" outlineLevel="0" collapsed="false">
      <c r="A51" s="18" t="s">
        <v>111</v>
      </c>
      <c r="B51" s="18" t="n">
        <v>2</v>
      </c>
      <c r="C51" s="18" t="s">
        <v>312</v>
      </c>
      <c r="D51" s="18"/>
      <c r="E51" s="18"/>
      <c r="F51" s="18"/>
      <c r="G51" s="18" t="str">
        <f aca="false">IF(COUNT(D51:F51)=3,SUM(D51:F51),"")</f>
        <v/>
      </c>
      <c r="H51" s="9"/>
    </row>
    <row r="52" customFormat="false" ht="15" hidden="false" customHeight="false" outlineLevel="0" collapsed="false">
      <c r="A52" s="18" t="s">
        <v>111</v>
      </c>
      <c r="B52" s="18" t="n">
        <v>2</v>
      </c>
      <c r="C52" s="18" t="s">
        <v>313</v>
      </c>
      <c r="D52" s="18"/>
      <c r="E52" s="18"/>
      <c r="F52" s="18"/>
      <c r="G52" s="18" t="str">
        <f aca="false">IF(COUNT(D52:F52)=3,SUM(D52:F52),"")</f>
        <v/>
      </c>
      <c r="H52" s="9"/>
    </row>
    <row r="53" customFormat="false" ht="15" hidden="false" customHeight="false" outlineLevel="0" collapsed="false">
      <c r="A53" s="18" t="s">
        <v>111</v>
      </c>
      <c r="B53" s="18" t="n">
        <v>2</v>
      </c>
      <c r="C53" s="18" t="s">
        <v>314</v>
      </c>
      <c r="D53" s="18"/>
      <c r="E53" s="18"/>
      <c r="F53" s="18"/>
      <c r="G53" s="18" t="str">
        <f aca="false">IF(COUNT(D53:F53)=3,SUM(D53:F53),"")</f>
        <v/>
      </c>
      <c r="H53" s="9"/>
    </row>
    <row r="54" customFormat="false" ht="15" hidden="false" customHeight="false" outlineLevel="0" collapsed="false">
      <c r="A54" s="18" t="s">
        <v>115</v>
      </c>
      <c r="B54" s="18" t="n">
        <v>2</v>
      </c>
      <c r="C54" s="18" t="s">
        <v>311</v>
      </c>
      <c r="D54" s="18"/>
      <c r="E54" s="18"/>
      <c r="F54" s="18"/>
      <c r="G54" s="18" t="str">
        <f aca="false">IF(COUNT(D54:F54)=3,SUM(D54:F54),"")</f>
        <v/>
      </c>
      <c r="H54" s="9"/>
    </row>
    <row r="55" customFormat="false" ht="15" hidden="false" customHeight="false" outlineLevel="0" collapsed="false">
      <c r="A55" s="18" t="s">
        <v>115</v>
      </c>
      <c r="B55" s="18" t="n">
        <v>2</v>
      </c>
      <c r="C55" s="18" t="s">
        <v>312</v>
      </c>
      <c r="D55" s="18"/>
      <c r="E55" s="18"/>
      <c r="F55" s="18"/>
      <c r="G55" s="18" t="str">
        <f aca="false">IF(COUNT(D55:F55)=3,SUM(D55:F55),"")</f>
        <v/>
      </c>
      <c r="H55" s="9"/>
    </row>
    <row r="56" customFormat="false" ht="15" hidden="false" customHeight="false" outlineLevel="0" collapsed="false">
      <c r="A56" s="18" t="s">
        <v>115</v>
      </c>
      <c r="B56" s="18" t="n">
        <v>2</v>
      </c>
      <c r="C56" s="18" t="s">
        <v>313</v>
      </c>
      <c r="D56" s="18"/>
      <c r="E56" s="18"/>
      <c r="F56" s="18"/>
      <c r="G56" s="18" t="str">
        <f aca="false">IF(COUNT(D56:F56)=3,SUM(D56:F56),"")</f>
        <v/>
      </c>
      <c r="H56" s="9"/>
    </row>
    <row r="57" customFormat="false" ht="15" hidden="false" customHeight="false" outlineLevel="0" collapsed="false">
      <c r="A57" s="18" t="s">
        <v>115</v>
      </c>
      <c r="B57" s="18" t="n">
        <v>2</v>
      </c>
      <c r="C57" s="18" t="s">
        <v>314</v>
      </c>
      <c r="D57" s="18"/>
      <c r="E57" s="18"/>
      <c r="F57" s="18"/>
      <c r="G57" s="18" t="str">
        <f aca="false">IF(COUNT(D57:F57)=3,SUM(D57:F57),"")</f>
        <v/>
      </c>
      <c r="H57" s="9"/>
    </row>
    <row r="58" customFormat="false" ht="15" hidden="false" customHeight="false" outlineLevel="0" collapsed="false">
      <c r="A58" s="18" t="s">
        <v>119</v>
      </c>
      <c r="B58" s="18" t="n">
        <v>2</v>
      </c>
      <c r="C58" s="18" t="s">
        <v>311</v>
      </c>
      <c r="D58" s="18"/>
      <c r="E58" s="18"/>
      <c r="F58" s="18"/>
      <c r="G58" s="18" t="str">
        <f aca="false">IF(COUNT(D58:F58)=3,SUM(D58:F58),"")</f>
        <v/>
      </c>
      <c r="H58" s="9"/>
    </row>
    <row r="59" customFormat="false" ht="15" hidden="false" customHeight="false" outlineLevel="0" collapsed="false">
      <c r="A59" s="18" t="s">
        <v>119</v>
      </c>
      <c r="B59" s="18" t="n">
        <v>2</v>
      </c>
      <c r="C59" s="18" t="s">
        <v>312</v>
      </c>
      <c r="D59" s="18"/>
      <c r="E59" s="18"/>
      <c r="F59" s="18"/>
      <c r="G59" s="18" t="str">
        <f aca="false">IF(COUNT(D59:F59)=3,SUM(D59:F59),"")</f>
        <v/>
      </c>
      <c r="H59" s="9"/>
    </row>
    <row r="60" customFormat="false" ht="15" hidden="false" customHeight="false" outlineLevel="0" collapsed="false">
      <c r="A60" s="18" t="s">
        <v>119</v>
      </c>
      <c r="B60" s="18" t="n">
        <v>2</v>
      </c>
      <c r="C60" s="18" t="s">
        <v>313</v>
      </c>
      <c r="D60" s="18"/>
      <c r="E60" s="18"/>
      <c r="F60" s="18"/>
      <c r="G60" s="18" t="str">
        <f aca="false">IF(COUNT(D60:F60)=3,SUM(D60:F60),"")</f>
        <v/>
      </c>
      <c r="H60" s="9"/>
    </row>
    <row r="61" customFormat="false" ht="15" hidden="false" customHeight="false" outlineLevel="0" collapsed="false">
      <c r="A61" s="18" t="s">
        <v>119</v>
      </c>
      <c r="B61" s="18" t="n">
        <v>2</v>
      </c>
      <c r="C61" s="18" t="s">
        <v>314</v>
      </c>
      <c r="D61" s="18"/>
      <c r="E61" s="18"/>
      <c r="F61" s="18"/>
      <c r="G61" s="18" t="str">
        <f aca="false">IF(COUNT(D61:F61)=3,SUM(D61:F61),"")</f>
        <v/>
      </c>
      <c r="H61" s="9"/>
    </row>
    <row r="62" customFormat="false" ht="15" hidden="false" customHeight="false" outlineLevel="0" collapsed="false">
      <c r="A62" s="18" t="s">
        <v>123</v>
      </c>
      <c r="B62" s="18" t="n">
        <v>2</v>
      </c>
      <c r="C62" s="18" t="s">
        <v>311</v>
      </c>
      <c r="D62" s="18"/>
      <c r="E62" s="18"/>
      <c r="F62" s="18"/>
      <c r="G62" s="18" t="str">
        <f aca="false">IF(COUNT(D62:F62)=3,SUM(D62:F62),"")</f>
        <v/>
      </c>
      <c r="H62" s="9"/>
    </row>
    <row r="63" customFormat="false" ht="15" hidden="false" customHeight="false" outlineLevel="0" collapsed="false">
      <c r="A63" s="18" t="s">
        <v>123</v>
      </c>
      <c r="B63" s="18" t="n">
        <v>2</v>
      </c>
      <c r="C63" s="18" t="s">
        <v>312</v>
      </c>
      <c r="D63" s="18"/>
      <c r="E63" s="18"/>
      <c r="F63" s="18"/>
      <c r="G63" s="18" t="str">
        <f aca="false">IF(COUNT(D63:F63)=3,SUM(D63:F63),"")</f>
        <v/>
      </c>
      <c r="H63" s="9"/>
    </row>
    <row r="64" customFormat="false" ht="15" hidden="false" customHeight="false" outlineLevel="0" collapsed="false">
      <c r="A64" s="18" t="s">
        <v>123</v>
      </c>
      <c r="B64" s="18" t="n">
        <v>2</v>
      </c>
      <c r="C64" s="18" t="s">
        <v>313</v>
      </c>
      <c r="D64" s="18"/>
      <c r="E64" s="18"/>
      <c r="F64" s="18"/>
      <c r="G64" s="18" t="str">
        <f aca="false">IF(COUNT(D64:F64)=3,SUM(D64:F64),"")</f>
        <v/>
      </c>
      <c r="H64" s="9"/>
    </row>
    <row r="65" customFormat="false" ht="15" hidden="false" customHeight="false" outlineLevel="0" collapsed="false">
      <c r="A65" s="18" t="s">
        <v>123</v>
      </c>
      <c r="B65" s="18" t="n">
        <v>2</v>
      </c>
      <c r="C65" s="18" t="s">
        <v>314</v>
      </c>
      <c r="D65" s="18"/>
      <c r="E65" s="18"/>
      <c r="F65" s="18"/>
      <c r="G65" s="18" t="str">
        <f aca="false">IF(COUNT(D65:F65)=3,SUM(D65:F65),"")</f>
        <v/>
      </c>
      <c r="H65" s="9"/>
    </row>
    <row r="66" customFormat="false" ht="15" hidden="false" customHeight="false" outlineLevel="0" collapsed="false">
      <c r="A66" s="18" t="s">
        <v>127</v>
      </c>
      <c r="B66" s="18" t="n">
        <v>2</v>
      </c>
      <c r="C66" s="18" t="s">
        <v>311</v>
      </c>
      <c r="D66" s="18"/>
      <c r="E66" s="18"/>
      <c r="F66" s="18"/>
      <c r="G66" s="18" t="str">
        <f aca="false">IF(COUNT(D66:F66)=3,SUM(D66:F66),"")</f>
        <v/>
      </c>
      <c r="H66" s="9"/>
    </row>
    <row r="67" customFormat="false" ht="15" hidden="false" customHeight="false" outlineLevel="0" collapsed="false">
      <c r="A67" s="18" t="s">
        <v>127</v>
      </c>
      <c r="B67" s="18" t="n">
        <v>2</v>
      </c>
      <c r="C67" s="18" t="s">
        <v>312</v>
      </c>
      <c r="D67" s="18"/>
      <c r="E67" s="18"/>
      <c r="F67" s="18"/>
      <c r="G67" s="18" t="str">
        <f aca="false">IF(COUNT(D67:F67)=3,SUM(D67:F67),"")</f>
        <v/>
      </c>
      <c r="H67" s="9"/>
    </row>
    <row r="68" customFormat="false" ht="15" hidden="false" customHeight="false" outlineLevel="0" collapsed="false">
      <c r="A68" s="18" t="s">
        <v>127</v>
      </c>
      <c r="B68" s="18" t="n">
        <v>2</v>
      </c>
      <c r="C68" s="18" t="s">
        <v>313</v>
      </c>
      <c r="D68" s="18"/>
      <c r="E68" s="18"/>
      <c r="F68" s="18"/>
      <c r="G68" s="18" t="str">
        <f aca="false">IF(COUNT(D68:F68)=3,SUM(D68:F68),"")</f>
        <v/>
      </c>
      <c r="H68" s="9"/>
    </row>
    <row r="69" customFormat="false" ht="15" hidden="false" customHeight="false" outlineLevel="0" collapsed="false">
      <c r="A69" s="18" t="s">
        <v>127</v>
      </c>
      <c r="B69" s="18" t="n">
        <v>2</v>
      </c>
      <c r="C69" s="18" t="s">
        <v>314</v>
      </c>
      <c r="D69" s="18"/>
      <c r="E69" s="18"/>
      <c r="F69" s="18"/>
      <c r="G69" s="18" t="str">
        <f aca="false">IF(COUNT(D69:F69)=3,SUM(D69:F69),"")</f>
        <v/>
      </c>
      <c r="H69" s="9"/>
    </row>
    <row r="70" customFormat="false" ht="15" hidden="false" customHeight="false" outlineLevel="0" collapsed="false">
      <c r="A70" s="18" t="s">
        <v>131</v>
      </c>
      <c r="B70" s="18" t="n">
        <v>2</v>
      </c>
      <c r="C70" s="18" t="s">
        <v>311</v>
      </c>
      <c r="D70" s="18"/>
      <c r="E70" s="18"/>
      <c r="F70" s="18"/>
      <c r="G70" s="18" t="str">
        <f aca="false">IF(COUNT(D70:F70)=3,SUM(D70:F70),"")</f>
        <v/>
      </c>
      <c r="H70" s="9"/>
    </row>
    <row r="71" customFormat="false" ht="15" hidden="false" customHeight="false" outlineLevel="0" collapsed="false">
      <c r="A71" s="18" t="s">
        <v>131</v>
      </c>
      <c r="B71" s="18" t="n">
        <v>2</v>
      </c>
      <c r="C71" s="18" t="s">
        <v>312</v>
      </c>
      <c r="D71" s="18"/>
      <c r="E71" s="18"/>
      <c r="F71" s="18"/>
      <c r="G71" s="18" t="str">
        <f aca="false">IF(COUNT(D71:F71)=3,SUM(D71:F71),"")</f>
        <v/>
      </c>
      <c r="H71" s="9"/>
    </row>
    <row r="72" customFormat="false" ht="15" hidden="false" customHeight="false" outlineLevel="0" collapsed="false">
      <c r="A72" s="18" t="s">
        <v>131</v>
      </c>
      <c r="B72" s="18" t="n">
        <v>2</v>
      </c>
      <c r="C72" s="18" t="s">
        <v>313</v>
      </c>
      <c r="D72" s="18"/>
      <c r="E72" s="18"/>
      <c r="F72" s="18"/>
      <c r="G72" s="18" t="str">
        <f aca="false">IF(COUNT(D72:F72)=3,SUM(D72:F72),"")</f>
        <v/>
      </c>
      <c r="H72" s="9"/>
    </row>
    <row r="73" customFormat="false" ht="15" hidden="false" customHeight="false" outlineLevel="0" collapsed="false">
      <c r="A73" s="18" t="s">
        <v>131</v>
      </c>
      <c r="B73" s="18" t="n">
        <v>2</v>
      </c>
      <c r="C73" s="18" t="s">
        <v>314</v>
      </c>
      <c r="D73" s="18"/>
      <c r="E73" s="18"/>
      <c r="F73" s="18"/>
      <c r="G73" s="18" t="str">
        <f aca="false">IF(COUNT(D73:F73)=3,SUM(D73:F73),"")</f>
        <v/>
      </c>
      <c r="H73" s="9"/>
    </row>
    <row r="74" customFormat="false" ht="15" hidden="false" customHeight="false" outlineLevel="0" collapsed="false">
      <c r="A74" s="18" t="s">
        <v>135</v>
      </c>
      <c r="B74" s="18" t="n">
        <v>2</v>
      </c>
      <c r="C74" s="18" t="s">
        <v>311</v>
      </c>
      <c r="D74" s="18"/>
      <c r="E74" s="18"/>
      <c r="F74" s="18"/>
      <c r="G74" s="18" t="str">
        <f aca="false">IF(COUNT(D74:F74)=3,SUM(D74:F74),"")</f>
        <v/>
      </c>
      <c r="H74" s="9"/>
    </row>
    <row r="75" customFormat="false" ht="15" hidden="false" customHeight="false" outlineLevel="0" collapsed="false">
      <c r="A75" s="18" t="s">
        <v>135</v>
      </c>
      <c r="B75" s="18" t="n">
        <v>2</v>
      </c>
      <c r="C75" s="18" t="s">
        <v>312</v>
      </c>
      <c r="D75" s="18"/>
      <c r="E75" s="18"/>
      <c r="F75" s="18"/>
      <c r="G75" s="18" t="str">
        <f aca="false">IF(COUNT(D75:F75)=3,SUM(D75:F75),"")</f>
        <v/>
      </c>
      <c r="H75" s="9"/>
    </row>
    <row r="76" customFormat="false" ht="15" hidden="false" customHeight="false" outlineLevel="0" collapsed="false">
      <c r="A76" s="18" t="s">
        <v>135</v>
      </c>
      <c r="B76" s="18" t="n">
        <v>2</v>
      </c>
      <c r="C76" s="18" t="s">
        <v>313</v>
      </c>
      <c r="D76" s="18"/>
      <c r="E76" s="18"/>
      <c r="F76" s="18"/>
      <c r="G76" s="18" t="str">
        <f aca="false">IF(COUNT(D76:F76)=3,SUM(D76:F76),"")</f>
        <v/>
      </c>
      <c r="H76" s="9"/>
    </row>
    <row r="77" customFormat="false" ht="15" hidden="false" customHeight="false" outlineLevel="0" collapsed="false">
      <c r="A77" s="18" t="s">
        <v>135</v>
      </c>
      <c r="B77" s="18" t="n">
        <v>2</v>
      </c>
      <c r="C77" s="18" t="s">
        <v>314</v>
      </c>
      <c r="D77" s="18"/>
      <c r="E77" s="18"/>
      <c r="F77" s="18"/>
      <c r="G77" s="18" t="str">
        <f aca="false">IF(COUNT(D77:F77)=3,SUM(D77:F77),"")</f>
        <v/>
      </c>
      <c r="H77" s="9"/>
    </row>
    <row r="78" customFormat="false" ht="15" hidden="false" customHeight="false" outlineLevel="0" collapsed="false">
      <c r="A78" s="18" t="s">
        <v>139</v>
      </c>
      <c r="B78" s="18" t="n">
        <v>2</v>
      </c>
      <c r="C78" s="18" t="s">
        <v>311</v>
      </c>
      <c r="D78" s="18"/>
      <c r="E78" s="18"/>
      <c r="F78" s="18"/>
      <c r="G78" s="18" t="str">
        <f aca="false">IF(COUNT(D78:F78)=3,SUM(D78:F78),"")</f>
        <v/>
      </c>
      <c r="H78" s="9"/>
    </row>
    <row r="79" customFormat="false" ht="15" hidden="false" customHeight="false" outlineLevel="0" collapsed="false">
      <c r="A79" s="18" t="s">
        <v>139</v>
      </c>
      <c r="B79" s="18" t="n">
        <v>2</v>
      </c>
      <c r="C79" s="18" t="s">
        <v>312</v>
      </c>
      <c r="D79" s="18"/>
      <c r="E79" s="18"/>
      <c r="F79" s="18"/>
      <c r="G79" s="18" t="str">
        <f aca="false">IF(COUNT(D79:F79)=3,SUM(D79:F79),"")</f>
        <v/>
      </c>
      <c r="H79" s="9"/>
    </row>
    <row r="80" customFormat="false" ht="15" hidden="false" customHeight="false" outlineLevel="0" collapsed="false">
      <c r="A80" s="18" t="s">
        <v>139</v>
      </c>
      <c r="B80" s="18" t="n">
        <v>2</v>
      </c>
      <c r="C80" s="18" t="s">
        <v>313</v>
      </c>
      <c r="D80" s="18"/>
      <c r="E80" s="18"/>
      <c r="F80" s="18"/>
      <c r="G80" s="18" t="str">
        <f aca="false">IF(COUNT(D80:F80)=3,SUM(D80:F80),"")</f>
        <v/>
      </c>
      <c r="H80" s="9"/>
    </row>
    <row r="81" customFormat="false" ht="15" hidden="false" customHeight="false" outlineLevel="0" collapsed="false">
      <c r="A81" s="18" t="s">
        <v>139</v>
      </c>
      <c r="B81" s="18" t="n">
        <v>2</v>
      </c>
      <c r="C81" s="18" t="s">
        <v>314</v>
      </c>
      <c r="D81" s="18"/>
      <c r="E81" s="18"/>
      <c r="F81" s="18"/>
      <c r="G81" s="18" t="str">
        <f aca="false">IF(COUNT(D81:F81)=3,SUM(D81:F81),"")</f>
        <v/>
      </c>
      <c r="H81" s="9"/>
    </row>
    <row r="82" customFormat="false" ht="15" hidden="false" customHeight="false" outlineLevel="0" collapsed="false">
      <c r="A82" s="18" t="s">
        <v>143</v>
      </c>
      <c r="B82" s="18" t="n">
        <v>3</v>
      </c>
      <c r="C82" s="18" t="s">
        <v>311</v>
      </c>
      <c r="D82" s="18"/>
      <c r="E82" s="18"/>
      <c r="F82" s="18"/>
      <c r="G82" s="18" t="str">
        <f aca="false">IF(COUNT(D82:F82)=3,SUM(D82:F82),"")</f>
        <v/>
      </c>
      <c r="H82" s="9"/>
    </row>
    <row r="83" customFormat="false" ht="15" hidden="false" customHeight="false" outlineLevel="0" collapsed="false">
      <c r="A83" s="18" t="s">
        <v>143</v>
      </c>
      <c r="B83" s="18" t="n">
        <v>3</v>
      </c>
      <c r="C83" s="18" t="s">
        <v>312</v>
      </c>
      <c r="D83" s="18"/>
      <c r="E83" s="18"/>
      <c r="F83" s="18"/>
      <c r="G83" s="18" t="str">
        <f aca="false">IF(COUNT(D83:F83)=3,SUM(D83:F83),"")</f>
        <v/>
      </c>
      <c r="H83" s="9"/>
    </row>
    <row r="84" customFormat="false" ht="15" hidden="false" customHeight="false" outlineLevel="0" collapsed="false">
      <c r="A84" s="18" t="s">
        <v>143</v>
      </c>
      <c r="B84" s="18" t="n">
        <v>3</v>
      </c>
      <c r="C84" s="18" t="s">
        <v>313</v>
      </c>
      <c r="D84" s="18"/>
      <c r="E84" s="18"/>
      <c r="F84" s="18"/>
      <c r="G84" s="18" t="str">
        <f aca="false">IF(COUNT(D84:F84)=3,SUM(D84:F84),"")</f>
        <v/>
      </c>
      <c r="H84" s="9"/>
    </row>
    <row r="85" customFormat="false" ht="15" hidden="false" customHeight="false" outlineLevel="0" collapsed="false">
      <c r="A85" s="18" t="s">
        <v>143</v>
      </c>
      <c r="B85" s="18" t="n">
        <v>3</v>
      </c>
      <c r="C85" s="18" t="s">
        <v>314</v>
      </c>
      <c r="D85" s="18"/>
      <c r="E85" s="18"/>
      <c r="F85" s="18"/>
      <c r="G85" s="18" t="str">
        <f aca="false">IF(COUNT(D85:F85)=3,SUM(D85:F85),"")</f>
        <v/>
      </c>
      <c r="H85" s="9"/>
    </row>
    <row r="86" customFormat="false" ht="15" hidden="false" customHeight="false" outlineLevel="0" collapsed="false">
      <c r="A86" s="18" t="s">
        <v>148</v>
      </c>
      <c r="B86" s="18" t="n">
        <v>3</v>
      </c>
      <c r="C86" s="18" t="s">
        <v>311</v>
      </c>
      <c r="D86" s="18"/>
      <c r="E86" s="18"/>
      <c r="F86" s="18"/>
      <c r="G86" s="18" t="str">
        <f aca="false">IF(COUNT(D86:F86)=3,SUM(D86:F86),"")</f>
        <v/>
      </c>
      <c r="H86" s="9"/>
    </row>
    <row r="87" customFormat="false" ht="15" hidden="false" customHeight="false" outlineLevel="0" collapsed="false">
      <c r="A87" s="18" t="s">
        <v>148</v>
      </c>
      <c r="B87" s="18" t="n">
        <v>3</v>
      </c>
      <c r="C87" s="18" t="s">
        <v>312</v>
      </c>
      <c r="D87" s="18"/>
      <c r="E87" s="18"/>
      <c r="F87" s="18"/>
      <c r="G87" s="18" t="str">
        <f aca="false">IF(COUNT(D87:F87)=3,SUM(D87:F87),"")</f>
        <v/>
      </c>
      <c r="H87" s="9"/>
    </row>
    <row r="88" customFormat="false" ht="15" hidden="false" customHeight="false" outlineLevel="0" collapsed="false">
      <c r="A88" s="18" t="s">
        <v>148</v>
      </c>
      <c r="B88" s="18" t="n">
        <v>3</v>
      </c>
      <c r="C88" s="18" t="s">
        <v>313</v>
      </c>
      <c r="D88" s="18"/>
      <c r="E88" s="18"/>
      <c r="F88" s="18"/>
      <c r="G88" s="18" t="str">
        <f aca="false">IF(COUNT(D88:F88)=3,SUM(D88:F88),"")</f>
        <v/>
      </c>
      <c r="H88" s="9"/>
    </row>
    <row r="89" customFormat="false" ht="15" hidden="false" customHeight="false" outlineLevel="0" collapsed="false">
      <c r="A89" s="18" t="s">
        <v>148</v>
      </c>
      <c r="B89" s="18" t="n">
        <v>3</v>
      </c>
      <c r="C89" s="18" t="s">
        <v>314</v>
      </c>
      <c r="D89" s="18"/>
      <c r="E89" s="18"/>
      <c r="F89" s="18"/>
      <c r="G89" s="18" t="str">
        <f aca="false">IF(COUNT(D89:F89)=3,SUM(D89:F89),"")</f>
        <v/>
      </c>
      <c r="H89" s="9"/>
    </row>
    <row r="90" customFormat="false" ht="15" hidden="false" customHeight="false" outlineLevel="0" collapsed="false">
      <c r="A90" s="18" t="s">
        <v>152</v>
      </c>
      <c r="B90" s="18" t="n">
        <v>3</v>
      </c>
      <c r="C90" s="18" t="s">
        <v>311</v>
      </c>
      <c r="D90" s="18"/>
      <c r="E90" s="18"/>
      <c r="F90" s="18"/>
      <c r="G90" s="18" t="str">
        <f aca="false">IF(COUNT(D90:F90)=3,SUM(D90:F90),"")</f>
        <v/>
      </c>
      <c r="H90" s="9"/>
    </row>
    <row r="91" customFormat="false" ht="15" hidden="false" customHeight="false" outlineLevel="0" collapsed="false">
      <c r="A91" s="18" t="s">
        <v>152</v>
      </c>
      <c r="B91" s="18" t="n">
        <v>3</v>
      </c>
      <c r="C91" s="18" t="s">
        <v>312</v>
      </c>
      <c r="D91" s="18"/>
      <c r="E91" s="18"/>
      <c r="F91" s="18"/>
      <c r="G91" s="18" t="str">
        <f aca="false">IF(COUNT(D91:F91)=3,SUM(D91:F91),"")</f>
        <v/>
      </c>
      <c r="H91" s="9"/>
    </row>
    <row r="92" customFormat="false" ht="15" hidden="false" customHeight="false" outlineLevel="0" collapsed="false">
      <c r="A92" s="18" t="s">
        <v>152</v>
      </c>
      <c r="B92" s="18" t="n">
        <v>3</v>
      </c>
      <c r="C92" s="18" t="s">
        <v>313</v>
      </c>
      <c r="D92" s="18"/>
      <c r="E92" s="18"/>
      <c r="F92" s="18"/>
      <c r="G92" s="18" t="str">
        <f aca="false">IF(COUNT(D92:F92)=3,SUM(D92:F92),"")</f>
        <v/>
      </c>
      <c r="H92" s="9"/>
    </row>
    <row r="93" customFormat="false" ht="15" hidden="false" customHeight="false" outlineLevel="0" collapsed="false">
      <c r="A93" s="18" t="s">
        <v>152</v>
      </c>
      <c r="B93" s="18" t="n">
        <v>3</v>
      </c>
      <c r="C93" s="18" t="s">
        <v>314</v>
      </c>
      <c r="D93" s="18"/>
      <c r="E93" s="18"/>
      <c r="F93" s="18"/>
      <c r="G93" s="18" t="str">
        <f aca="false">IF(COUNT(D93:F93)=3,SUM(D93:F93),"")</f>
        <v/>
      </c>
      <c r="H93" s="9"/>
    </row>
    <row r="94" customFormat="false" ht="15" hidden="false" customHeight="false" outlineLevel="0" collapsed="false">
      <c r="A94" s="18" t="s">
        <v>156</v>
      </c>
      <c r="B94" s="18" t="n">
        <v>3</v>
      </c>
      <c r="C94" s="18" t="s">
        <v>311</v>
      </c>
      <c r="D94" s="18"/>
      <c r="E94" s="18"/>
      <c r="F94" s="18"/>
      <c r="G94" s="18" t="str">
        <f aca="false">IF(COUNT(D94:F94)=3,SUM(D94:F94),"")</f>
        <v/>
      </c>
      <c r="H94" s="9"/>
    </row>
    <row r="95" customFormat="false" ht="15" hidden="false" customHeight="false" outlineLevel="0" collapsed="false">
      <c r="A95" s="18" t="s">
        <v>156</v>
      </c>
      <c r="B95" s="18" t="n">
        <v>3</v>
      </c>
      <c r="C95" s="18" t="s">
        <v>312</v>
      </c>
      <c r="D95" s="18"/>
      <c r="E95" s="18"/>
      <c r="F95" s="18"/>
      <c r="G95" s="18" t="str">
        <f aca="false">IF(COUNT(D95:F95)=3,SUM(D95:F95),"")</f>
        <v/>
      </c>
      <c r="H95" s="9"/>
    </row>
    <row r="96" customFormat="false" ht="15" hidden="false" customHeight="false" outlineLevel="0" collapsed="false">
      <c r="A96" s="18" t="s">
        <v>156</v>
      </c>
      <c r="B96" s="18" t="n">
        <v>3</v>
      </c>
      <c r="C96" s="18" t="s">
        <v>313</v>
      </c>
      <c r="D96" s="18"/>
      <c r="E96" s="18"/>
      <c r="F96" s="18"/>
      <c r="G96" s="18" t="str">
        <f aca="false">IF(COUNT(D96:F96)=3,SUM(D96:F96),"")</f>
        <v/>
      </c>
      <c r="H96" s="9"/>
    </row>
    <row r="97" customFormat="false" ht="15" hidden="false" customHeight="false" outlineLevel="0" collapsed="false">
      <c r="A97" s="18" t="s">
        <v>156</v>
      </c>
      <c r="B97" s="18" t="n">
        <v>3</v>
      </c>
      <c r="C97" s="18" t="s">
        <v>314</v>
      </c>
      <c r="D97" s="18"/>
      <c r="E97" s="18"/>
      <c r="F97" s="18"/>
      <c r="G97" s="18" t="str">
        <f aca="false">IF(COUNT(D97:F97)=3,SUM(D97:F97),"")</f>
        <v/>
      </c>
      <c r="H97" s="9"/>
    </row>
    <row r="98" customFormat="false" ht="15" hidden="false" customHeight="false" outlineLevel="0" collapsed="false">
      <c r="A98" s="18" t="s">
        <v>160</v>
      </c>
      <c r="B98" s="18" t="n">
        <v>3</v>
      </c>
      <c r="C98" s="18" t="s">
        <v>311</v>
      </c>
      <c r="D98" s="18"/>
      <c r="E98" s="18"/>
      <c r="F98" s="18"/>
      <c r="G98" s="18" t="str">
        <f aca="false">IF(COUNT(D98:F98)=3,SUM(D98:F98),"")</f>
        <v/>
      </c>
      <c r="H98" s="9"/>
    </row>
    <row r="99" customFormat="false" ht="15" hidden="false" customHeight="false" outlineLevel="0" collapsed="false">
      <c r="A99" s="18" t="s">
        <v>160</v>
      </c>
      <c r="B99" s="18" t="n">
        <v>3</v>
      </c>
      <c r="C99" s="18" t="s">
        <v>312</v>
      </c>
      <c r="D99" s="18"/>
      <c r="E99" s="18"/>
      <c r="F99" s="18"/>
      <c r="G99" s="18" t="str">
        <f aca="false">IF(COUNT(D99:F99)=3,SUM(D99:F99),"")</f>
        <v/>
      </c>
      <c r="H99" s="9"/>
    </row>
    <row r="100" customFormat="false" ht="15" hidden="false" customHeight="false" outlineLevel="0" collapsed="false">
      <c r="A100" s="18" t="s">
        <v>160</v>
      </c>
      <c r="B100" s="18" t="n">
        <v>3</v>
      </c>
      <c r="C100" s="18" t="s">
        <v>313</v>
      </c>
      <c r="D100" s="18"/>
      <c r="E100" s="18"/>
      <c r="F100" s="18"/>
      <c r="G100" s="18" t="str">
        <f aca="false">IF(COUNT(D100:F100)=3,SUM(D100:F100),"")</f>
        <v/>
      </c>
      <c r="H100" s="9"/>
    </row>
    <row r="101" customFormat="false" ht="15" hidden="false" customHeight="false" outlineLevel="0" collapsed="false">
      <c r="A101" s="18" t="s">
        <v>160</v>
      </c>
      <c r="B101" s="18" t="n">
        <v>3</v>
      </c>
      <c r="C101" s="18" t="s">
        <v>314</v>
      </c>
      <c r="D101" s="18"/>
      <c r="E101" s="18"/>
      <c r="F101" s="18"/>
      <c r="G101" s="18" t="str">
        <f aca="false">IF(COUNT(D101:F101)=3,SUM(D101:F101),"")</f>
        <v/>
      </c>
      <c r="H101" s="9"/>
    </row>
    <row r="102" customFormat="false" ht="15" hidden="false" customHeight="false" outlineLevel="0" collapsed="false">
      <c r="A102" s="18" t="s">
        <v>164</v>
      </c>
      <c r="B102" s="18" t="n">
        <v>3</v>
      </c>
      <c r="C102" s="18" t="s">
        <v>311</v>
      </c>
      <c r="D102" s="18"/>
      <c r="E102" s="18"/>
      <c r="F102" s="18"/>
      <c r="G102" s="18" t="str">
        <f aca="false">IF(COUNT(D102:F102)=3,SUM(D102:F102),"")</f>
        <v/>
      </c>
      <c r="H102" s="9"/>
    </row>
    <row r="103" customFormat="false" ht="15" hidden="false" customHeight="false" outlineLevel="0" collapsed="false">
      <c r="A103" s="18" t="s">
        <v>164</v>
      </c>
      <c r="B103" s="18" t="n">
        <v>3</v>
      </c>
      <c r="C103" s="18" t="s">
        <v>312</v>
      </c>
      <c r="D103" s="18"/>
      <c r="E103" s="18"/>
      <c r="F103" s="18"/>
      <c r="G103" s="18" t="str">
        <f aca="false">IF(COUNT(D103:F103)=3,SUM(D103:F103),"")</f>
        <v/>
      </c>
      <c r="H103" s="9"/>
    </row>
    <row r="104" customFormat="false" ht="15" hidden="false" customHeight="false" outlineLevel="0" collapsed="false">
      <c r="A104" s="18" t="s">
        <v>164</v>
      </c>
      <c r="B104" s="18" t="n">
        <v>3</v>
      </c>
      <c r="C104" s="18" t="s">
        <v>313</v>
      </c>
      <c r="D104" s="18"/>
      <c r="E104" s="18"/>
      <c r="F104" s="18"/>
      <c r="G104" s="18" t="str">
        <f aca="false">IF(COUNT(D104:F104)=3,SUM(D104:F104),"")</f>
        <v/>
      </c>
      <c r="H104" s="9"/>
    </row>
    <row r="105" customFormat="false" ht="15" hidden="false" customHeight="false" outlineLevel="0" collapsed="false">
      <c r="A105" s="18" t="s">
        <v>164</v>
      </c>
      <c r="B105" s="18" t="n">
        <v>3</v>
      </c>
      <c r="C105" s="18" t="s">
        <v>314</v>
      </c>
      <c r="D105" s="18"/>
      <c r="E105" s="18"/>
      <c r="F105" s="18"/>
      <c r="G105" s="18" t="str">
        <f aca="false">IF(COUNT(D105:F105)=3,SUM(D105:F105),"")</f>
        <v/>
      </c>
      <c r="H105" s="9"/>
    </row>
    <row r="106" customFormat="false" ht="15" hidden="false" customHeight="false" outlineLevel="0" collapsed="false">
      <c r="A106" s="18" t="s">
        <v>168</v>
      </c>
      <c r="B106" s="18" t="n">
        <v>3</v>
      </c>
      <c r="C106" s="18" t="s">
        <v>311</v>
      </c>
      <c r="D106" s="18"/>
      <c r="E106" s="18"/>
      <c r="F106" s="18"/>
      <c r="G106" s="18" t="str">
        <f aca="false">IF(COUNT(D106:F106)=3,SUM(D106:F106),"")</f>
        <v/>
      </c>
      <c r="H106" s="9"/>
    </row>
    <row r="107" customFormat="false" ht="15" hidden="false" customHeight="false" outlineLevel="0" collapsed="false">
      <c r="A107" s="18" t="s">
        <v>168</v>
      </c>
      <c r="B107" s="18" t="n">
        <v>3</v>
      </c>
      <c r="C107" s="18" t="s">
        <v>312</v>
      </c>
      <c r="D107" s="18"/>
      <c r="E107" s="18"/>
      <c r="F107" s="18"/>
      <c r="G107" s="18" t="str">
        <f aca="false">IF(COUNT(D107:F107)=3,SUM(D107:F107),"")</f>
        <v/>
      </c>
      <c r="H107" s="9"/>
    </row>
    <row r="108" customFormat="false" ht="15" hidden="false" customHeight="false" outlineLevel="0" collapsed="false">
      <c r="A108" s="18" t="s">
        <v>168</v>
      </c>
      <c r="B108" s="18" t="n">
        <v>3</v>
      </c>
      <c r="C108" s="18" t="s">
        <v>313</v>
      </c>
      <c r="D108" s="18"/>
      <c r="E108" s="18"/>
      <c r="F108" s="18"/>
      <c r="G108" s="18" t="str">
        <f aca="false">IF(COUNT(D108:F108)=3,SUM(D108:F108),"")</f>
        <v/>
      </c>
      <c r="H108" s="9"/>
    </row>
    <row r="109" customFormat="false" ht="15" hidden="false" customHeight="false" outlineLevel="0" collapsed="false">
      <c r="A109" s="18" t="s">
        <v>168</v>
      </c>
      <c r="B109" s="18" t="n">
        <v>3</v>
      </c>
      <c r="C109" s="18" t="s">
        <v>314</v>
      </c>
      <c r="D109" s="18"/>
      <c r="E109" s="18"/>
      <c r="F109" s="18"/>
      <c r="G109" s="18" t="str">
        <f aca="false">IF(COUNT(D109:F109)=3,SUM(D109:F109),"")</f>
        <v/>
      </c>
      <c r="H109" s="9"/>
    </row>
    <row r="110" customFormat="false" ht="15" hidden="false" customHeight="false" outlineLevel="0" collapsed="false">
      <c r="A110" s="18" t="s">
        <v>172</v>
      </c>
      <c r="B110" s="18" t="n">
        <v>3</v>
      </c>
      <c r="C110" s="18" t="s">
        <v>311</v>
      </c>
      <c r="D110" s="18"/>
      <c r="E110" s="18"/>
      <c r="F110" s="18"/>
      <c r="G110" s="18" t="str">
        <f aca="false">IF(COUNT(D110:F110)=3,SUM(D110:F110),"")</f>
        <v/>
      </c>
      <c r="H110" s="9"/>
    </row>
    <row r="111" customFormat="false" ht="15" hidden="false" customHeight="false" outlineLevel="0" collapsed="false">
      <c r="A111" s="18" t="s">
        <v>172</v>
      </c>
      <c r="B111" s="18" t="n">
        <v>3</v>
      </c>
      <c r="C111" s="18" t="s">
        <v>312</v>
      </c>
      <c r="D111" s="18"/>
      <c r="E111" s="18"/>
      <c r="F111" s="18"/>
      <c r="G111" s="18" t="str">
        <f aca="false">IF(COUNT(D111:F111)=3,SUM(D111:F111),"")</f>
        <v/>
      </c>
      <c r="H111" s="9"/>
    </row>
    <row r="112" customFormat="false" ht="15" hidden="false" customHeight="false" outlineLevel="0" collapsed="false">
      <c r="A112" s="18" t="s">
        <v>172</v>
      </c>
      <c r="B112" s="18" t="n">
        <v>3</v>
      </c>
      <c r="C112" s="18" t="s">
        <v>313</v>
      </c>
      <c r="D112" s="18"/>
      <c r="E112" s="18"/>
      <c r="F112" s="18"/>
      <c r="G112" s="18" t="str">
        <f aca="false">IF(COUNT(D112:F112)=3,SUM(D112:F112),"")</f>
        <v/>
      </c>
      <c r="H112" s="9"/>
    </row>
    <row r="113" customFormat="false" ht="15" hidden="false" customHeight="false" outlineLevel="0" collapsed="false">
      <c r="A113" s="18" t="s">
        <v>172</v>
      </c>
      <c r="B113" s="18" t="n">
        <v>3</v>
      </c>
      <c r="C113" s="18" t="s">
        <v>314</v>
      </c>
      <c r="D113" s="18"/>
      <c r="E113" s="18"/>
      <c r="F113" s="18"/>
      <c r="G113" s="18" t="str">
        <f aca="false">IF(COUNT(D113:F113)=3,SUM(D113:F113),"")</f>
        <v/>
      </c>
      <c r="H113" s="9"/>
    </row>
    <row r="114" customFormat="false" ht="15" hidden="false" customHeight="false" outlineLevel="0" collapsed="false">
      <c r="A114" s="18" t="s">
        <v>176</v>
      </c>
      <c r="B114" s="18" t="n">
        <v>3</v>
      </c>
      <c r="C114" s="18" t="s">
        <v>311</v>
      </c>
      <c r="D114" s="18"/>
      <c r="E114" s="18"/>
      <c r="F114" s="18"/>
      <c r="G114" s="18" t="str">
        <f aca="false">IF(COUNT(D114:F114)=3,SUM(D114:F114),"")</f>
        <v/>
      </c>
      <c r="H114" s="9"/>
    </row>
    <row r="115" customFormat="false" ht="15" hidden="false" customHeight="false" outlineLevel="0" collapsed="false">
      <c r="A115" s="18" t="s">
        <v>176</v>
      </c>
      <c r="B115" s="18" t="n">
        <v>3</v>
      </c>
      <c r="C115" s="18" t="s">
        <v>312</v>
      </c>
      <c r="D115" s="18"/>
      <c r="E115" s="18"/>
      <c r="F115" s="18"/>
      <c r="G115" s="18" t="str">
        <f aca="false">IF(COUNT(D115:F115)=3,SUM(D115:F115),"")</f>
        <v/>
      </c>
      <c r="H115" s="9"/>
    </row>
    <row r="116" customFormat="false" ht="15" hidden="false" customHeight="false" outlineLevel="0" collapsed="false">
      <c r="A116" s="18" t="s">
        <v>176</v>
      </c>
      <c r="B116" s="18" t="n">
        <v>3</v>
      </c>
      <c r="C116" s="18" t="s">
        <v>313</v>
      </c>
      <c r="D116" s="18"/>
      <c r="E116" s="18"/>
      <c r="F116" s="18"/>
      <c r="G116" s="18" t="str">
        <f aca="false">IF(COUNT(D116:F116)=3,SUM(D116:F116),"")</f>
        <v/>
      </c>
      <c r="H116" s="9"/>
    </row>
    <row r="117" customFormat="false" ht="15" hidden="false" customHeight="false" outlineLevel="0" collapsed="false">
      <c r="A117" s="18" t="s">
        <v>176</v>
      </c>
      <c r="B117" s="18" t="n">
        <v>3</v>
      </c>
      <c r="C117" s="18" t="s">
        <v>314</v>
      </c>
      <c r="D117" s="18"/>
      <c r="E117" s="18"/>
      <c r="F117" s="18"/>
      <c r="G117" s="18" t="str">
        <f aca="false">IF(COUNT(D117:F117)=3,SUM(D117:F117),"")</f>
        <v/>
      </c>
      <c r="H117" s="9"/>
    </row>
    <row r="118" customFormat="false" ht="15" hidden="false" customHeight="false" outlineLevel="0" collapsed="false">
      <c r="A118" s="18" t="s">
        <v>180</v>
      </c>
      <c r="B118" s="18" t="n">
        <v>3</v>
      </c>
      <c r="C118" s="18" t="s">
        <v>311</v>
      </c>
      <c r="D118" s="18"/>
      <c r="E118" s="18"/>
      <c r="F118" s="18"/>
      <c r="G118" s="18" t="str">
        <f aca="false">IF(COUNT(D118:F118)=3,SUM(D118:F118),"")</f>
        <v/>
      </c>
      <c r="H118" s="9"/>
    </row>
    <row r="119" customFormat="false" ht="15" hidden="false" customHeight="false" outlineLevel="0" collapsed="false">
      <c r="A119" s="18" t="s">
        <v>180</v>
      </c>
      <c r="B119" s="18" t="n">
        <v>3</v>
      </c>
      <c r="C119" s="18" t="s">
        <v>312</v>
      </c>
      <c r="D119" s="18"/>
      <c r="E119" s="18"/>
      <c r="F119" s="18"/>
      <c r="G119" s="18" t="str">
        <f aca="false">IF(COUNT(D119:F119)=3,SUM(D119:F119),"")</f>
        <v/>
      </c>
      <c r="H119" s="9"/>
    </row>
    <row r="120" customFormat="false" ht="15" hidden="false" customHeight="false" outlineLevel="0" collapsed="false">
      <c r="A120" s="18" t="s">
        <v>180</v>
      </c>
      <c r="B120" s="18" t="n">
        <v>3</v>
      </c>
      <c r="C120" s="18" t="s">
        <v>313</v>
      </c>
      <c r="D120" s="18"/>
      <c r="E120" s="18"/>
      <c r="F120" s="18"/>
      <c r="G120" s="18" t="str">
        <f aca="false">IF(COUNT(D120:F120)=3,SUM(D120:F120),"")</f>
        <v/>
      </c>
      <c r="H120" s="9"/>
    </row>
    <row r="121" customFormat="false" ht="15" hidden="false" customHeight="false" outlineLevel="0" collapsed="false">
      <c r="A121" s="18" t="s">
        <v>180</v>
      </c>
      <c r="B121" s="18" t="n">
        <v>3</v>
      </c>
      <c r="C121" s="18" t="s">
        <v>314</v>
      </c>
      <c r="D121" s="18"/>
      <c r="E121" s="18"/>
      <c r="F121" s="18"/>
      <c r="G121" s="18" t="str">
        <f aca="false">IF(COUNT(D121:F121)=3,SUM(D121:F121),"")</f>
        <v/>
      </c>
      <c r="H121" s="9"/>
    </row>
    <row r="122" customFormat="false" ht="15" hidden="false" customHeight="false" outlineLevel="0" collapsed="false">
      <c r="A122" s="18" t="s">
        <v>184</v>
      </c>
      <c r="B122" s="18" t="n">
        <v>4</v>
      </c>
      <c r="C122" s="18" t="s">
        <v>311</v>
      </c>
      <c r="D122" s="18"/>
      <c r="E122" s="18"/>
      <c r="F122" s="18"/>
      <c r="G122" s="18" t="str">
        <f aca="false">IF(COUNT(D122:F122)=3,SUM(D122:F122),"")</f>
        <v/>
      </c>
      <c r="H122" s="9"/>
    </row>
    <row r="123" customFormat="false" ht="15" hidden="false" customHeight="false" outlineLevel="0" collapsed="false">
      <c r="A123" s="18" t="s">
        <v>184</v>
      </c>
      <c r="B123" s="18" t="n">
        <v>4</v>
      </c>
      <c r="C123" s="18" t="s">
        <v>312</v>
      </c>
      <c r="D123" s="18"/>
      <c r="E123" s="18"/>
      <c r="F123" s="18"/>
      <c r="G123" s="18" t="str">
        <f aca="false">IF(COUNT(D123:F123)=3,SUM(D123:F123),"")</f>
        <v/>
      </c>
      <c r="H123" s="9"/>
    </row>
    <row r="124" customFormat="false" ht="15" hidden="false" customHeight="false" outlineLevel="0" collapsed="false">
      <c r="A124" s="18" t="s">
        <v>184</v>
      </c>
      <c r="B124" s="18" t="n">
        <v>4</v>
      </c>
      <c r="C124" s="18" t="s">
        <v>313</v>
      </c>
      <c r="D124" s="18"/>
      <c r="E124" s="18"/>
      <c r="F124" s="18"/>
      <c r="G124" s="18" t="str">
        <f aca="false">IF(COUNT(D124:F124)=3,SUM(D124:F124),"")</f>
        <v/>
      </c>
      <c r="H124" s="9"/>
    </row>
    <row r="125" customFormat="false" ht="15" hidden="false" customHeight="false" outlineLevel="0" collapsed="false">
      <c r="A125" s="18" t="s">
        <v>184</v>
      </c>
      <c r="B125" s="18" t="n">
        <v>4</v>
      </c>
      <c r="C125" s="18" t="s">
        <v>314</v>
      </c>
      <c r="D125" s="18"/>
      <c r="E125" s="18"/>
      <c r="F125" s="18"/>
      <c r="G125" s="18" t="str">
        <f aca="false">IF(COUNT(D125:F125)=3,SUM(D125:F125),"")</f>
        <v/>
      </c>
      <c r="H125" s="9"/>
    </row>
    <row r="126" customFormat="false" ht="15" hidden="false" customHeight="false" outlineLevel="0" collapsed="false">
      <c r="A126" s="18" t="s">
        <v>189</v>
      </c>
      <c r="B126" s="18" t="n">
        <v>4</v>
      </c>
      <c r="C126" s="18" t="s">
        <v>311</v>
      </c>
      <c r="D126" s="18"/>
      <c r="E126" s="18"/>
      <c r="F126" s="18"/>
      <c r="G126" s="18" t="str">
        <f aca="false">IF(COUNT(D126:F126)=3,SUM(D126:F126),"")</f>
        <v/>
      </c>
      <c r="H126" s="9"/>
    </row>
    <row r="127" customFormat="false" ht="15" hidden="false" customHeight="false" outlineLevel="0" collapsed="false">
      <c r="A127" s="18" t="s">
        <v>189</v>
      </c>
      <c r="B127" s="18" t="n">
        <v>4</v>
      </c>
      <c r="C127" s="18" t="s">
        <v>312</v>
      </c>
      <c r="D127" s="18"/>
      <c r="E127" s="18"/>
      <c r="F127" s="18"/>
      <c r="G127" s="18" t="str">
        <f aca="false">IF(COUNT(D127:F127)=3,SUM(D127:F127),"")</f>
        <v/>
      </c>
      <c r="H127" s="9"/>
    </row>
    <row r="128" customFormat="false" ht="15" hidden="false" customHeight="false" outlineLevel="0" collapsed="false">
      <c r="A128" s="18" t="s">
        <v>189</v>
      </c>
      <c r="B128" s="18" t="n">
        <v>4</v>
      </c>
      <c r="C128" s="18" t="s">
        <v>313</v>
      </c>
      <c r="D128" s="18"/>
      <c r="E128" s="18"/>
      <c r="F128" s="18"/>
      <c r="G128" s="18" t="str">
        <f aca="false">IF(COUNT(D128:F128)=3,SUM(D128:F128),"")</f>
        <v/>
      </c>
      <c r="H128" s="9"/>
    </row>
    <row r="129" customFormat="false" ht="15" hidden="false" customHeight="false" outlineLevel="0" collapsed="false">
      <c r="A129" s="18" t="s">
        <v>189</v>
      </c>
      <c r="B129" s="18" t="n">
        <v>4</v>
      </c>
      <c r="C129" s="18" t="s">
        <v>314</v>
      </c>
      <c r="D129" s="18"/>
      <c r="E129" s="18"/>
      <c r="F129" s="18"/>
      <c r="G129" s="18" t="str">
        <f aca="false">IF(COUNT(D129:F129)=3,SUM(D129:F129),"")</f>
        <v/>
      </c>
      <c r="H129" s="9"/>
    </row>
    <row r="130" customFormat="false" ht="15" hidden="false" customHeight="false" outlineLevel="0" collapsed="false">
      <c r="A130" s="18" t="s">
        <v>193</v>
      </c>
      <c r="B130" s="18" t="n">
        <v>4</v>
      </c>
      <c r="C130" s="18" t="s">
        <v>311</v>
      </c>
      <c r="D130" s="18"/>
      <c r="E130" s="18"/>
      <c r="F130" s="18"/>
      <c r="G130" s="18" t="str">
        <f aca="false">IF(COUNT(D130:F130)=3,SUM(D130:F130),"")</f>
        <v/>
      </c>
      <c r="H130" s="9"/>
    </row>
    <row r="131" customFormat="false" ht="15" hidden="false" customHeight="false" outlineLevel="0" collapsed="false">
      <c r="A131" s="18" t="s">
        <v>193</v>
      </c>
      <c r="B131" s="18" t="n">
        <v>4</v>
      </c>
      <c r="C131" s="18" t="s">
        <v>312</v>
      </c>
      <c r="D131" s="18"/>
      <c r="E131" s="18"/>
      <c r="F131" s="18"/>
      <c r="G131" s="18" t="str">
        <f aca="false">IF(COUNT(D131:F131)=3,SUM(D131:F131),"")</f>
        <v/>
      </c>
      <c r="H131" s="9"/>
    </row>
    <row r="132" customFormat="false" ht="15" hidden="false" customHeight="false" outlineLevel="0" collapsed="false">
      <c r="A132" s="18" t="s">
        <v>193</v>
      </c>
      <c r="B132" s="18" t="n">
        <v>4</v>
      </c>
      <c r="C132" s="18" t="s">
        <v>313</v>
      </c>
      <c r="D132" s="18"/>
      <c r="E132" s="18"/>
      <c r="F132" s="18"/>
      <c r="G132" s="18" t="str">
        <f aca="false">IF(COUNT(D132:F132)=3,SUM(D132:F132),"")</f>
        <v/>
      </c>
      <c r="H132" s="9"/>
    </row>
    <row r="133" customFormat="false" ht="15" hidden="false" customHeight="false" outlineLevel="0" collapsed="false">
      <c r="A133" s="18" t="s">
        <v>193</v>
      </c>
      <c r="B133" s="18" t="n">
        <v>4</v>
      </c>
      <c r="C133" s="18" t="s">
        <v>314</v>
      </c>
      <c r="D133" s="18"/>
      <c r="E133" s="18"/>
      <c r="F133" s="18"/>
      <c r="G133" s="18" t="str">
        <f aca="false">IF(COUNT(D133:F133)=3,SUM(D133:F133),"")</f>
        <v/>
      </c>
      <c r="H133" s="9"/>
    </row>
    <row r="134" customFormat="false" ht="15" hidden="false" customHeight="false" outlineLevel="0" collapsed="false">
      <c r="A134" s="18" t="s">
        <v>197</v>
      </c>
      <c r="B134" s="18" t="n">
        <v>4</v>
      </c>
      <c r="C134" s="18" t="s">
        <v>311</v>
      </c>
      <c r="D134" s="18"/>
      <c r="E134" s="18"/>
      <c r="F134" s="18"/>
      <c r="G134" s="18" t="str">
        <f aca="false">IF(COUNT(D134:F134)=3,SUM(D134:F134),"")</f>
        <v/>
      </c>
      <c r="H134" s="9"/>
    </row>
    <row r="135" customFormat="false" ht="15" hidden="false" customHeight="false" outlineLevel="0" collapsed="false">
      <c r="A135" s="18" t="s">
        <v>197</v>
      </c>
      <c r="B135" s="18" t="n">
        <v>4</v>
      </c>
      <c r="C135" s="18" t="s">
        <v>312</v>
      </c>
      <c r="D135" s="18"/>
      <c r="E135" s="18"/>
      <c r="F135" s="18"/>
      <c r="G135" s="18" t="str">
        <f aca="false">IF(COUNT(D135:F135)=3,SUM(D135:F135),"")</f>
        <v/>
      </c>
      <c r="H135" s="9"/>
    </row>
    <row r="136" customFormat="false" ht="15" hidden="false" customHeight="false" outlineLevel="0" collapsed="false">
      <c r="A136" s="18" t="s">
        <v>197</v>
      </c>
      <c r="B136" s="18" t="n">
        <v>4</v>
      </c>
      <c r="C136" s="18" t="s">
        <v>313</v>
      </c>
      <c r="D136" s="18"/>
      <c r="E136" s="18"/>
      <c r="F136" s="18"/>
      <c r="G136" s="18" t="str">
        <f aca="false">IF(COUNT(D136:F136)=3,SUM(D136:F136),"")</f>
        <v/>
      </c>
      <c r="H136" s="9"/>
    </row>
    <row r="137" customFormat="false" ht="15" hidden="false" customHeight="false" outlineLevel="0" collapsed="false">
      <c r="A137" s="18" t="s">
        <v>197</v>
      </c>
      <c r="B137" s="18" t="n">
        <v>4</v>
      </c>
      <c r="C137" s="18" t="s">
        <v>314</v>
      </c>
      <c r="D137" s="18"/>
      <c r="E137" s="18"/>
      <c r="F137" s="18"/>
      <c r="G137" s="18" t="str">
        <f aca="false">IF(COUNT(D137:F137)=3,SUM(D137:F137),"")</f>
        <v/>
      </c>
      <c r="H137" s="9"/>
    </row>
    <row r="138" customFormat="false" ht="15" hidden="false" customHeight="false" outlineLevel="0" collapsed="false">
      <c r="A138" s="18" t="s">
        <v>201</v>
      </c>
      <c r="B138" s="18" t="n">
        <v>4</v>
      </c>
      <c r="C138" s="18" t="s">
        <v>311</v>
      </c>
      <c r="D138" s="18"/>
      <c r="E138" s="18"/>
      <c r="F138" s="18"/>
      <c r="G138" s="18" t="str">
        <f aca="false">IF(COUNT(D138:F138)=3,SUM(D138:F138),"")</f>
        <v/>
      </c>
      <c r="H138" s="9"/>
    </row>
    <row r="139" customFormat="false" ht="15" hidden="false" customHeight="false" outlineLevel="0" collapsed="false">
      <c r="A139" s="18" t="s">
        <v>201</v>
      </c>
      <c r="B139" s="18" t="n">
        <v>4</v>
      </c>
      <c r="C139" s="18" t="s">
        <v>312</v>
      </c>
      <c r="D139" s="18"/>
      <c r="E139" s="18"/>
      <c r="F139" s="18"/>
      <c r="G139" s="18" t="str">
        <f aca="false">IF(COUNT(D139:F139)=3,SUM(D139:F139),"")</f>
        <v/>
      </c>
      <c r="H139" s="9"/>
    </row>
    <row r="140" customFormat="false" ht="15" hidden="false" customHeight="false" outlineLevel="0" collapsed="false">
      <c r="A140" s="18" t="s">
        <v>201</v>
      </c>
      <c r="B140" s="18" t="n">
        <v>4</v>
      </c>
      <c r="C140" s="18" t="s">
        <v>313</v>
      </c>
      <c r="D140" s="18"/>
      <c r="E140" s="18"/>
      <c r="F140" s="18"/>
      <c r="G140" s="18" t="str">
        <f aca="false">IF(COUNT(D140:F140)=3,SUM(D140:F140),"")</f>
        <v/>
      </c>
      <c r="H140" s="9"/>
    </row>
    <row r="141" customFormat="false" ht="15" hidden="false" customHeight="false" outlineLevel="0" collapsed="false">
      <c r="A141" s="18" t="s">
        <v>201</v>
      </c>
      <c r="B141" s="18" t="n">
        <v>4</v>
      </c>
      <c r="C141" s="18" t="s">
        <v>314</v>
      </c>
      <c r="D141" s="18"/>
      <c r="E141" s="18"/>
      <c r="F141" s="18"/>
      <c r="G141" s="18" t="str">
        <f aca="false">IF(COUNT(D141:F141)=3,SUM(D141:F141),"")</f>
        <v/>
      </c>
      <c r="H141" s="9"/>
    </row>
    <row r="142" customFormat="false" ht="15" hidden="false" customHeight="false" outlineLevel="0" collapsed="false">
      <c r="A142" s="18" t="s">
        <v>205</v>
      </c>
      <c r="B142" s="18" t="n">
        <v>4</v>
      </c>
      <c r="C142" s="18" t="s">
        <v>311</v>
      </c>
      <c r="D142" s="18"/>
      <c r="E142" s="18"/>
      <c r="F142" s="18"/>
      <c r="G142" s="18" t="str">
        <f aca="false">IF(COUNT(D142:F142)=3,SUM(D142:F142),"")</f>
        <v/>
      </c>
      <c r="H142" s="9"/>
    </row>
    <row r="143" customFormat="false" ht="15" hidden="false" customHeight="false" outlineLevel="0" collapsed="false">
      <c r="A143" s="18" t="s">
        <v>205</v>
      </c>
      <c r="B143" s="18" t="n">
        <v>4</v>
      </c>
      <c r="C143" s="18" t="s">
        <v>312</v>
      </c>
      <c r="D143" s="18"/>
      <c r="E143" s="18"/>
      <c r="F143" s="18"/>
      <c r="G143" s="18" t="str">
        <f aca="false">IF(COUNT(D143:F143)=3,SUM(D143:F143),"")</f>
        <v/>
      </c>
      <c r="H143" s="9"/>
    </row>
    <row r="144" customFormat="false" ht="15" hidden="false" customHeight="false" outlineLevel="0" collapsed="false">
      <c r="A144" s="18" t="s">
        <v>205</v>
      </c>
      <c r="B144" s="18" t="n">
        <v>4</v>
      </c>
      <c r="C144" s="18" t="s">
        <v>313</v>
      </c>
      <c r="D144" s="18"/>
      <c r="E144" s="18"/>
      <c r="F144" s="18"/>
      <c r="G144" s="18" t="str">
        <f aca="false">IF(COUNT(D144:F144)=3,SUM(D144:F144),"")</f>
        <v/>
      </c>
      <c r="H144" s="9"/>
    </row>
    <row r="145" customFormat="false" ht="15" hidden="false" customHeight="false" outlineLevel="0" collapsed="false">
      <c r="A145" s="18" t="s">
        <v>205</v>
      </c>
      <c r="B145" s="18" t="n">
        <v>4</v>
      </c>
      <c r="C145" s="18" t="s">
        <v>314</v>
      </c>
      <c r="D145" s="18"/>
      <c r="E145" s="18"/>
      <c r="F145" s="18"/>
      <c r="G145" s="18" t="str">
        <f aca="false">IF(COUNT(D145:F145)=3,SUM(D145:F145),"")</f>
        <v/>
      </c>
      <c r="H145" s="9"/>
    </row>
    <row r="146" customFormat="false" ht="15" hidden="false" customHeight="false" outlineLevel="0" collapsed="false">
      <c r="A146" s="18" t="s">
        <v>209</v>
      </c>
      <c r="B146" s="18" t="n">
        <v>4</v>
      </c>
      <c r="C146" s="18" t="s">
        <v>311</v>
      </c>
      <c r="D146" s="18"/>
      <c r="E146" s="18"/>
      <c r="F146" s="18"/>
      <c r="G146" s="18" t="str">
        <f aca="false">IF(COUNT(D146:F146)=3,SUM(D146:F146),"")</f>
        <v/>
      </c>
      <c r="H146" s="9"/>
    </row>
    <row r="147" customFormat="false" ht="15" hidden="false" customHeight="false" outlineLevel="0" collapsed="false">
      <c r="A147" s="18" t="s">
        <v>209</v>
      </c>
      <c r="B147" s="18" t="n">
        <v>4</v>
      </c>
      <c r="C147" s="18" t="s">
        <v>312</v>
      </c>
      <c r="D147" s="18"/>
      <c r="E147" s="18"/>
      <c r="F147" s="18"/>
      <c r="G147" s="18" t="str">
        <f aca="false">IF(COUNT(D147:F147)=3,SUM(D147:F147),"")</f>
        <v/>
      </c>
      <c r="H147" s="9"/>
    </row>
    <row r="148" customFormat="false" ht="15" hidden="false" customHeight="false" outlineLevel="0" collapsed="false">
      <c r="A148" s="18" t="s">
        <v>209</v>
      </c>
      <c r="B148" s="18" t="n">
        <v>4</v>
      </c>
      <c r="C148" s="18" t="s">
        <v>313</v>
      </c>
      <c r="D148" s="18"/>
      <c r="E148" s="18"/>
      <c r="F148" s="18"/>
      <c r="G148" s="18" t="str">
        <f aca="false">IF(COUNT(D148:F148)=3,SUM(D148:F148),"")</f>
        <v/>
      </c>
      <c r="H148" s="9"/>
    </row>
    <row r="149" customFormat="false" ht="15" hidden="false" customHeight="false" outlineLevel="0" collapsed="false">
      <c r="A149" s="18" t="s">
        <v>209</v>
      </c>
      <c r="B149" s="18" t="n">
        <v>4</v>
      </c>
      <c r="C149" s="18" t="s">
        <v>314</v>
      </c>
      <c r="D149" s="18"/>
      <c r="E149" s="18"/>
      <c r="F149" s="18"/>
      <c r="G149" s="18" t="str">
        <f aca="false">IF(COUNT(D149:F149)=3,SUM(D149:F149),"")</f>
        <v/>
      </c>
      <c r="H149" s="9"/>
    </row>
    <row r="150" customFormat="false" ht="15" hidden="false" customHeight="false" outlineLevel="0" collapsed="false">
      <c r="A150" s="18" t="s">
        <v>213</v>
      </c>
      <c r="B150" s="18" t="n">
        <v>4</v>
      </c>
      <c r="C150" s="18" t="s">
        <v>311</v>
      </c>
      <c r="D150" s="18"/>
      <c r="E150" s="18"/>
      <c r="F150" s="18"/>
      <c r="G150" s="18" t="str">
        <f aca="false">IF(COUNT(D150:F150)=3,SUM(D150:F150),"")</f>
        <v/>
      </c>
      <c r="H150" s="9"/>
    </row>
    <row r="151" customFormat="false" ht="15" hidden="false" customHeight="false" outlineLevel="0" collapsed="false">
      <c r="A151" s="18" t="s">
        <v>213</v>
      </c>
      <c r="B151" s="18" t="n">
        <v>4</v>
      </c>
      <c r="C151" s="18" t="s">
        <v>312</v>
      </c>
      <c r="D151" s="18"/>
      <c r="E151" s="18"/>
      <c r="F151" s="18"/>
      <c r="G151" s="18" t="str">
        <f aca="false">IF(COUNT(D151:F151)=3,SUM(D151:F151),"")</f>
        <v/>
      </c>
      <c r="H151" s="9"/>
    </row>
    <row r="152" customFormat="false" ht="15" hidden="false" customHeight="false" outlineLevel="0" collapsed="false">
      <c r="A152" s="18" t="s">
        <v>213</v>
      </c>
      <c r="B152" s="18" t="n">
        <v>4</v>
      </c>
      <c r="C152" s="18" t="s">
        <v>313</v>
      </c>
      <c r="D152" s="18"/>
      <c r="E152" s="18"/>
      <c r="F152" s="18"/>
      <c r="G152" s="18" t="str">
        <f aca="false">IF(COUNT(D152:F152)=3,SUM(D152:F152),"")</f>
        <v/>
      </c>
      <c r="H152" s="9"/>
    </row>
    <row r="153" customFormat="false" ht="15" hidden="false" customHeight="false" outlineLevel="0" collapsed="false">
      <c r="A153" s="18" t="s">
        <v>213</v>
      </c>
      <c r="B153" s="18" t="n">
        <v>4</v>
      </c>
      <c r="C153" s="18" t="s">
        <v>314</v>
      </c>
      <c r="D153" s="18"/>
      <c r="E153" s="18"/>
      <c r="F153" s="18"/>
      <c r="G153" s="18" t="str">
        <f aca="false">IF(COUNT(D153:F153)=3,SUM(D153:F153),"")</f>
        <v/>
      </c>
      <c r="H153" s="9"/>
    </row>
    <row r="154" customFormat="false" ht="15" hidden="false" customHeight="false" outlineLevel="0" collapsed="false">
      <c r="A154" s="18" t="s">
        <v>217</v>
      </c>
      <c r="B154" s="18" t="n">
        <v>4</v>
      </c>
      <c r="C154" s="18" t="s">
        <v>311</v>
      </c>
      <c r="D154" s="18"/>
      <c r="E154" s="18"/>
      <c r="F154" s="18"/>
      <c r="G154" s="18" t="str">
        <f aca="false">IF(COUNT(D154:F154)=3,SUM(D154:F154),"")</f>
        <v/>
      </c>
      <c r="H154" s="9"/>
    </row>
    <row r="155" customFormat="false" ht="15" hidden="false" customHeight="false" outlineLevel="0" collapsed="false">
      <c r="A155" s="18" t="s">
        <v>217</v>
      </c>
      <c r="B155" s="18" t="n">
        <v>4</v>
      </c>
      <c r="C155" s="18" t="s">
        <v>312</v>
      </c>
      <c r="D155" s="18"/>
      <c r="E155" s="18"/>
      <c r="F155" s="18"/>
      <c r="G155" s="18" t="str">
        <f aca="false">IF(COUNT(D155:F155)=3,SUM(D155:F155),"")</f>
        <v/>
      </c>
      <c r="H155" s="9"/>
    </row>
    <row r="156" customFormat="false" ht="15" hidden="false" customHeight="false" outlineLevel="0" collapsed="false">
      <c r="A156" s="18" t="s">
        <v>217</v>
      </c>
      <c r="B156" s="18" t="n">
        <v>4</v>
      </c>
      <c r="C156" s="18" t="s">
        <v>313</v>
      </c>
      <c r="D156" s="18"/>
      <c r="E156" s="18"/>
      <c r="F156" s="18"/>
      <c r="G156" s="18" t="str">
        <f aca="false">IF(COUNT(D156:F156)=3,SUM(D156:F156),"")</f>
        <v/>
      </c>
      <c r="H156" s="9"/>
    </row>
    <row r="157" customFormat="false" ht="15" hidden="false" customHeight="false" outlineLevel="0" collapsed="false">
      <c r="A157" s="18" t="s">
        <v>217</v>
      </c>
      <c r="B157" s="18" t="n">
        <v>4</v>
      </c>
      <c r="C157" s="18" t="s">
        <v>314</v>
      </c>
      <c r="D157" s="18"/>
      <c r="E157" s="18"/>
      <c r="F157" s="18"/>
      <c r="G157" s="18" t="str">
        <f aca="false">IF(COUNT(D157:F157)=3,SUM(D157:F157),"")</f>
        <v/>
      </c>
      <c r="H157" s="9"/>
    </row>
    <row r="158" customFormat="false" ht="15" hidden="false" customHeight="false" outlineLevel="0" collapsed="false">
      <c r="A158" s="18" t="s">
        <v>221</v>
      </c>
      <c r="B158" s="18" t="n">
        <v>4</v>
      </c>
      <c r="C158" s="18" t="s">
        <v>311</v>
      </c>
      <c r="D158" s="18"/>
      <c r="E158" s="18"/>
      <c r="F158" s="18"/>
      <c r="G158" s="18" t="str">
        <f aca="false">IF(COUNT(D158:F158)=3,SUM(D158:F158),"")</f>
        <v/>
      </c>
      <c r="H158" s="9"/>
    </row>
    <row r="159" customFormat="false" ht="15" hidden="false" customHeight="false" outlineLevel="0" collapsed="false">
      <c r="A159" s="18" t="s">
        <v>221</v>
      </c>
      <c r="B159" s="18" t="n">
        <v>4</v>
      </c>
      <c r="C159" s="18" t="s">
        <v>312</v>
      </c>
      <c r="D159" s="18"/>
      <c r="E159" s="18"/>
      <c r="F159" s="18"/>
      <c r="G159" s="18" t="str">
        <f aca="false">IF(COUNT(D159:F159)=3,SUM(D159:F159),"")</f>
        <v/>
      </c>
      <c r="H159" s="9"/>
    </row>
    <row r="160" customFormat="false" ht="15" hidden="false" customHeight="false" outlineLevel="0" collapsed="false">
      <c r="A160" s="18" t="s">
        <v>221</v>
      </c>
      <c r="B160" s="18" t="n">
        <v>4</v>
      </c>
      <c r="C160" s="18" t="s">
        <v>313</v>
      </c>
      <c r="D160" s="18"/>
      <c r="E160" s="18"/>
      <c r="F160" s="18"/>
      <c r="G160" s="18" t="str">
        <f aca="false">IF(COUNT(D160:F160)=3,SUM(D160:F160),"")</f>
        <v/>
      </c>
      <c r="H160" s="9"/>
    </row>
    <row r="161" customFormat="false" ht="15" hidden="false" customHeight="false" outlineLevel="0" collapsed="false">
      <c r="A161" s="18" t="s">
        <v>221</v>
      </c>
      <c r="B161" s="18" t="n">
        <v>4</v>
      </c>
      <c r="C161" s="18" t="s">
        <v>314</v>
      </c>
      <c r="D161" s="18"/>
      <c r="E161" s="18"/>
      <c r="F161" s="18"/>
      <c r="G161" s="18" t="str">
        <f aca="false">IF(COUNT(D161:F161)=3,SUM(D161:F161),"")</f>
        <v/>
      </c>
      <c r="H161" s="9"/>
    </row>
    <row r="162" customFormat="false" ht="15" hidden="false" customHeight="false" outlineLevel="0" collapsed="false">
      <c r="A162" s="18" t="s">
        <v>225</v>
      </c>
      <c r="B162" s="18" t="n">
        <v>5</v>
      </c>
      <c r="C162" s="18" t="s">
        <v>311</v>
      </c>
      <c r="D162" s="18"/>
      <c r="E162" s="18"/>
      <c r="F162" s="18"/>
      <c r="G162" s="18" t="str">
        <f aca="false">IF(COUNT(D162:F162)=3,SUM(D162:F162),"")</f>
        <v/>
      </c>
      <c r="H162" s="9"/>
    </row>
    <row r="163" customFormat="false" ht="15" hidden="false" customHeight="false" outlineLevel="0" collapsed="false">
      <c r="A163" s="18" t="s">
        <v>225</v>
      </c>
      <c r="B163" s="18" t="n">
        <v>5</v>
      </c>
      <c r="C163" s="18" t="s">
        <v>312</v>
      </c>
      <c r="D163" s="18"/>
      <c r="E163" s="18"/>
      <c r="F163" s="18"/>
      <c r="G163" s="18" t="str">
        <f aca="false">IF(COUNT(D163:F163)=3,SUM(D163:F163),"")</f>
        <v/>
      </c>
      <c r="H163" s="9"/>
    </row>
    <row r="164" customFormat="false" ht="15" hidden="false" customHeight="false" outlineLevel="0" collapsed="false">
      <c r="A164" s="18" t="s">
        <v>225</v>
      </c>
      <c r="B164" s="18" t="n">
        <v>5</v>
      </c>
      <c r="C164" s="18" t="s">
        <v>313</v>
      </c>
      <c r="D164" s="18"/>
      <c r="E164" s="18"/>
      <c r="F164" s="18"/>
      <c r="G164" s="18" t="str">
        <f aca="false">IF(COUNT(D164:F164)=3,SUM(D164:F164),"")</f>
        <v/>
      </c>
      <c r="H164" s="9"/>
    </row>
    <row r="165" customFormat="false" ht="15" hidden="false" customHeight="false" outlineLevel="0" collapsed="false">
      <c r="A165" s="18" t="s">
        <v>225</v>
      </c>
      <c r="B165" s="18" t="n">
        <v>5</v>
      </c>
      <c r="C165" s="18" t="s">
        <v>314</v>
      </c>
      <c r="D165" s="18"/>
      <c r="E165" s="18"/>
      <c r="F165" s="18"/>
      <c r="G165" s="18" t="str">
        <f aca="false">IF(COUNT(D165:F165)=3,SUM(D165:F165),"")</f>
        <v/>
      </c>
      <c r="H165" s="9"/>
    </row>
    <row r="166" customFormat="false" ht="15" hidden="false" customHeight="false" outlineLevel="0" collapsed="false">
      <c r="A166" s="18" t="s">
        <v>231</v>
      </c>
      <c r="B166" s="18" t="n">
        <v>5</v>
      </c>
      <c r="C166" s="18" t="s">
        <v>311</v>
      </c>
      <c r="D166" s="18"/>
      <c r="E166" s="18"/>
      <c r="F166" s="18"/>
      <c r="G166" s="18" t="str">
        <f aca="false">IF(COUNT(D166:F166)=3,SUM(D166:F166),"")</f>
        <v/>
      </c>
      <c r="H166" s="9"/>
    </row>
    <row r="167" customFormat="false" ht="15" hidden="false" customHeight="false" outlineLevel="0" collapsed="false">
      <c r="A167" s="18" t="s">
        <v>231</v>
      </c>
      <c r="B167" s="18" t="n">
        <v>5</v>
      </c>
      <c r="C167" s="18" t="s">
        <v>312</v>
      </c>
      <c r="D167" s="18"/>
      <c r="E167" s="18"/>
      <c r="F167" s="18"/>
      <c r="G167" s="18" t="str">
        <f aca="false">IF(COUNT(D167:F167)=3,SUM(D167:F167),"")</f>
        <v/>
      </c>
      <c r="H167" s="9"/>
    </row>
    <row r="168" customFormat="false" ht="15" hidden="false" customHeight="false" outlineLevel="0" collapsed="false">
      <c r="A168" s="18" t="s">
        <v>231</v>
      </c>
      <c r="B168" s="18" t="n">
        <v>5</v>
      </c>
      <c r="C168" s="18" t="s">
        <v>313</v>
      </c>
      <c r="D168" s="18"/>
      <c r="E168" s="18"/>
      <c r="F168" s="18"/>
      <c r="G168" s="18" t="str">
        <f aca="false">IF(COUNT(D168:F168)=3,SUM(D168:F168),"")</f>
        <v/>
      </c>
      <c r="H168" s="9"/>
    </row>
    <row r="169" customFormat="false" ht="15" hidden="false" customHeight="false" outlineLevel="0" collapsed="false">
      <c r="A169" s="18" t="s">
        <v>231</v>
      </c>
      <c r="B169" s="18" t="n">
        <v>5</v>
      </c>
      <c r="C169" s="18" t="s">
        <v>314</v>
      </c>
      <c r="D169" s="18"/>
      <c r="E169" s="18"/>
      <c r="F169" s="18"/>
      <c r="G169" s="18" t="str">
        <f aca="false">IF(COUNT(D169:F169)=3,SUM(D169:F169),"")</f>
        <v/>
      </c>
      <c r="H169" s="9"/>
    </row>
    <row r="170" customFormat="false" ht="15" hidden="false" customHeight="false" outlineLevel="0" collapsed="false">
      <c r="A170" s="18" t="s">
        <v>236</v>
      </c>
      <c r="B170" s="18" t="n">
        <v>5</v>
      </c>
      <c r="C170" s="18" t="s">
        <v>311</v>
      </c>
      <c r="D170" s="18"/>
      <c r="E170" s="18"/>
      <c r="F170" s="18"/>
      <c r="G170" s="18" t="str">
        <f aca="false">IF(COUNT(D170:F170)=3,SUM(D170:F170),"")</f>
        <v/>
      </c>
      <c r="H170" s="9"/>
    </row>
    <row r="171" customFormat="false" ht="15" hidden="false" customHeight="false" outlineLevel="0" collapsed="false">
      <c r="A171" s="18" t="s">
        <v>236</v>
      </c>
      <c r="B171" s="18" t="n">
        <v>5</v>
      </c>
      <c r="C171" s="18" t="s">
        <v>312</v>
      </c>
      <c r="D171" s="18"/>
      <c r="E171" s="18"/>
      <c r="F171" s="18"/>
      <c r="G171" s="18" t="str">
        <f aca="false">IF(COUNT(D171:F171)=3,SUM(D171:F171),"")</f>
        <v/>
      </c>
      <c r="H171" s="9"/>
    </row>
    <row r="172" customFormat="false" ht="15" hidden="false" customHeight="false" outlineLevel="0" collapsed="false">
      <c r="A172" s="18" t="s">
        <v>236</v>
      </c>
      <c r="B172" s="18" t="n">
        <v>5</v>
      </c>
      <c r="C172" s="18" t="s">
        <v>313</v>
      </c>
      <c r="D172" s="18"/>
      <c r="E172" s="18"/>
      <c r="F172" s="18"/>
      <c r="G172" s="18" t="str">
        <f aca="false">IF(COUNT(D172:F172)=3,SUM(D172:F172),"")</f>
        <v/>
      </c>
      <c r="H172" s="9"/>
    </row>
    <row r="173" customFormat="false" ht="15" hidden="false" customHeight="false" outlineLevel="0" collapsed="false">
      <c r="A173" s="18" t="s">
        <v>236</v>
      </c>
      <c r="B173" s="18" t="n">
        <v>5</v>
      </c>
      <c r="C173" s="18" t="s">
        <v>314</v>
      </c>
      <c r="D173" s="18"/>
      <c r="E173" s="18"/>
      <c r="F173" s="18"/>
      <c r="G173" s="18" t="str">
        <f aca="false">IF(COUNT(D173:F173)=3,SUM(D173:F173),"")</f>
        <v/>
      </c>
      <c r="H173" s="9"/>
    </row>
    <row r="174" customFormat="false" ht="15" hidden="false" customHeight="false" outlineLevel="0" collapsed="false">
      <c r="A174" s="18" t="s">
        <v>241</v>
      </c>
      <c r="B174" s="18" t="n">
        <v>5</v>
      </c>
      <c r="C174" s="18" t="s">
        <v>311</v>
      </c>
      <c r="D174" s="18"/>
      <c r="E174" s="18"/>
      <c r="F174" s="18"/>
      <c r="G174" s="18" t="str">
        <f aca="false">IF(COUNT(D174:F174)=3,SUM(D174:F174),"")</f>
        <v/>
      </c>
      <c r="H174" s="9"/>
    </row>
    <row r="175" customFormat="false" ht="15" hidden="false" customHeight="false" outlineLevel="0" collapsed="false">
      <c r="A175" s="18" t="s">
        <v>241</v>
      </c>
      <c r="B175" s="18" t="n">
        <v>5</v>
      </c>
      <c r="C175" s="18" t="s">
        <v>312</v>
      </c>
      <c r="D175" s="18"/>
      <c r="E175" s="18"/>
      <c r="F175" s="18"/>
      <c r="G175" s="18" t="str">
        <f aca="false">IF(COUNT(D175:F175)=3,SUM(D175:F175),"")</f>
        <v/>
      </c>
      <c r="H175" s="9"/>
    </row>
    <row r="176" customFormat="false" ht="15" hidden="false" customHeight="false" outlineLevel="0" collapsed="false">
      <c r="A176" s="18" t="s">
        <v>241</v>
      </c>
      <c r="B176" s="18" t="n">
        <v>5</v>
      </c>
      <c r="C176" s="18" t="s">
        <v>313</v>
      </c>
      <c r="D176" s="18"/>
      <c r="E176" s="18"/>
      <c r="F176" s="18"/>
      <c r="G176" s="18" t="str">
        <f aca="false">IF(COUNT(D176:F176)=3,SUM(D176:F176),"")</f>
        <v/>
      </c>
      <c r="H176" s="9"/>
    </row>
    <row r="177" customFormat="false" ht="15" hidden="false" customHeight="false" outlineLevel="0" collapsed="false">
      <c r="A177" s="18" t="s">
        <v>241</v>
      </c>
      <c r="B177" s="18" t="n">
        <v>5</v>
      </c>
      <c r="C177" s="18" t="s">
        <v>314</v>
      </c>
      <c r="D177" s="18"/>
      <c r="E177" s="18"/>
      <c r="F177" s="18"/>
      <c r="G177" s="18" t="str">
        <f aca="false">IF(COUNT(D177:F177)=3,SUM(D177:F177),"")</f>
        <v/>
      </c>
      <c r="H177" s="9"/>
    </row>
    <row r="178" customFormat="false" ht="15" hidden="false" customHeight="false" outlineLevel="0" collapsed="false">
      <c r="A178" s="18" t="s">
        <v>246</v>
      </c>
      <c r="B178" s="18" t="n">
        <v>5</v>
      </c>
      <c r="C178" s="18" t="s">
        <v>311</v>
      </c>
      <c r="D178" s="18"/>
      <c r="E178" s="18"/>
      <c r="F178" s="18"/>
      <c r="G178" s="18" t="str">
        <f aca="false">IF(COUNT(D178:F178)=3,SUM(D178:F178),"")</f>
        <v/>
      </c>
      <c r="H178" s="9"/>
    </row>
    <row r="179" customFormat="false" ht="15" hidden="false" customHeight="false" outlineLevel="0" collapsed="false">
      <c r="A179" s="18" t="s">
        <v>246</v>
      </c>
      <c r="B179" s="18" t="n">
        <v>5</v>
      </c>
      <c r="C179" s="18" t="s">
        <v>312</v>
      </c>
      <c r="D179" s="18"/>
      <c r="E179" s="18"/>
      <c r="F179" s="18"/>
      <c r="G179" s="18" t="str">
        <f aca="false">IF(COUNT(D179:F179)=3,SUM(D179:F179),"")</f>
        <v/>
      </c>
      <c r="H179" s="9"/>
    </row>
    <row r="180" customFormat="false" ht="15" hidden="false" customHeight="false" outlineLevel="0" collapsed="false">
      <c r="A180" s="18" t="s">
        <v>246</v>
      </c>
      <c r="B180" s="18" t="n">
        <v>5</v>
      </c>
      <c r="C180" s="18" t="s">
        <v>313</v>
      </c>
      <c r="D180" s="18"/>
      <c r="E180" s="18"/>
      <c r="F180" s="18"/>
      <c r="G180" s="18" t="str">
        <f aca="false">IF(COUNT(D180:F180)=3,SUM(D180:F180),"")</f>
        <v/>
      </c>
      <c r="H180" s="9"/>
    </row>
    <row r="181" customFormat="false" ht="15" hidden="false" customHeight="false" outlineLevel="0" collapsed="false">
      <c r="A181" s="18" t="s">
        <v>246</v>
      </c>
      <c r="B181" s="18" t="n">
        <v>5</v>
      </c>
      <c r="C181" s="18" t="s">
        <v>314</v>
      </c>
      <c r="D181" s="18"/>
      <c r="E181" s="18"/>
      <c r="F181" s="18"/>
      <c r="G181" s="18" t="str">
        <f aca="false">IF(COUNT(D181:F181)=3,SUM(D181:F181),"")</f>
        <v/>
      </c>
      <c r="H181" s="9"/>
    </row>
    <row r="182" customFormat="false" ht="15" hidden="false" customHeight="false" outlineLevel="0" collapsed="false">
      <c r="A182" s="18" t="s">
        <v>250</v>
      </c>
      <c r="B182" s="18" t="n">
        <v>5</v>
      </c>
      <c r="C182" s="18" t="s">
        <v>311</v>
      </c>
      <c r="D182" s="18"/>
      <c r="E182" s="18"/>
      <c r="F182" s="18"/>
      <c r="G182" s="18" t="str">
        <f aca="false">IF(COUNT(D182:F182)=3,SUM(D182:F182),"")</f>
        <v/>
      </c>
      <c r="H182" s="9"/>
    </row>
    <row r="183" customFormat="false" ht="15" hidden="false" customHeight="false" outlineLevel="0" collapsed="false">
      <c r="A183" s="18" t="s">
        <v>250</v>
      </c>
      <c r="B183" s="18" t="n">
        <v>5</v>
      </c>
      <c r="C183" s="18" t="s">
        <v>312</v>
      </c>
      <c r="D183" s="18"/>
      <c r="E183" s="18"/>
      <c r="F183" s="18"/>
      <c r="G183" s="18" t="str">
        <f aca="false">IF(COUNT(D183:F183)=3,SUM(D183:F183),"")</f>
        <v/>
      </c>
      <c r="H183" s="9"/>
    </row>
    <row r="184" customFormat="false" ht="15" hidden="false" customHeight="false" outlineLevel="0" collapsed="false">
      <c r="A184" s="18" t="s">
        <v>250</v>
      </c>
      <c r="B184" s="18" t="n">
        <v>5</v>
      </c>
      <c r="C184" s="18" t="s">
        <v>313</v>
      </c>
      <c r="D184" s="18"/>
      <c r="E184" s="18"/>
      <c r="F184" s="18"/>
      <c r="G184" s="18" t="str">
        <f aca="false">IF(COUNT(D184:F184)=3,SUM(D184:F184),"")</f>
        <v/>
      </c>
      <c r="H184" s="9"/>
    </row>
    <row r="185" customFormat="false" ht="15" hidden="false" customHeight="false" outlineLevel="0" collapsed="false">
      <c r="A185" s="18" t="s">
        <v>250</v>
      </c>
      <c r="B185" s="18" t="n">
        <v>5</v>
      </c>
      <c r="C185" s="18" t="s">
        <v>314</v>
      </c>
      <c r="D185" s="18"/>
      <c r="E185" s="18"/>
      <c r="F185" s="18"/>
      <c r="G185" s="18" t="str">
        <f aca="false">IF(COUNT(D185:F185)=3,SUM(D185:F185),"")</f>
        <v/>
      </c>
      <c r="H185" s="9"/>
    </row>
    <row r="186" customFormat="false" ht="15" hidden="false" customHeight="false" outlineLevel="0" collapsed="false">
      <c r="A186" s="18" t="s">
        <v>255</v>
      </c>
      <c r="B186" s="18" t="n">
        <v>5</v>
      </c>
      <c r="C186" s="18" t="s">
        <v>311</v>
      </c>
      <c r="D186" s="18"/>
      <c r="E186" s="18"/>
      <c r="F186" s="18"/>
      <c r="G186" s="18" t="str">
        <f aca="false">IF(COUNT(D186:F186)=3,SUM(D186:F186),"")</f>
        <v/>
      </c>
      <c r="H186" s="9"/>
    </row>
    <row r="187" customFormat="false" ht="15" hidden="false" customHeight="false" outlineLevel="0" collapsed="false">
      <c r="A187" s="18" t="s">
        <v>255</v>
      </c>
      <c r="B187" s="18" t="n">
        <v>5</v>
      </c>
      <c r="C187" s="18" t="s">
        <v>312</v>
      </c>
      <c r="D187" s="18"/>
      <c r="E187" s="18"/>
      <c r="F187" s="18"/>
      <c r="G187" s="18" t="str">
        <f aca="false">IF(COUNT(D187:F187)=3,SUM(D187:F187),"")</f>
        <v/>
      </c>
      <c r="H187" s="9"/>
    </row>
    <row r="188" customFormat="false" ht="15" hidden="false" customHeight="false" outlineLevel="0" collapsed="false">
      <c r="A188" s="18" t="s">
        <v>255</v>
      </c>
      <c r="B188" s="18" t="n">
        <v>5</v>
      </c>
      <c r="C188" s="18" t="s">
        <v>313</v>
      </c>
      <c r="D188" s="18"/>
      <c r="E188" s="18"/>
      <c r="F188" s="18"/>
      <c r="G188" s="18" t="str">
        <f aca="false">IF(COUNT(D188:F188)=3,SUM(D188:F188),"")</f>
        <v/>
      </c>
      <c r="H188" s="9"/>
    </row>
    <row r="189" customFormat="false" ht="15" hidden="false" customHeight="false" outlineLevel="0" collapsed="false">
      <c r="A189" s="18" t="s">
        <v>255</v>
      </c>
      <c r="B189" s="18" t="n">
        <v>5</v>
      </c>
      <c r="C189" s="18" t="s">
        <v>314</v>
      </c>
      <c r="D189" s="18"/>
      <c r="E189" s="18"/>
      <c r="F189" s="18"/>
      <c r="G189" s="18" t="str">
        <f aca="false">IF(COUNT(D189:F189)=3,SUM(D189:F189),"")</f>
        <v/>
      </c>
      <c r="H189" s="9"/>
    </row>
    <row r="190" customFormat="false" ht="15" hidden="false" customHeight="false" outlineLevel="0" collapsed="false">
      <c r="A190" s="18" t="s">
        <v>259</v>
      </c>
      <c r="B190" s="18" t="n">
        <v>5</v>
      </c>
      <c r="C190" s="18" t="s">
        <v>311</v>
      </c>
      <c r="D190" s="18"/>
      <c r="E190" s="18"/>
      <c r="F190" s="18"/>
      <c r="G190" s="18" t="str">
        <f aca="false">IF(COUNT(D190:F190)=3,SUM(D190:F190),"")</f>
        <v/>
      </c>
      <c r="H190" s="9"/>
    </row>
    <row r="191" customFormat="false" ht="15" hidden="false" customHeight="false" outlineLevel="0" collapsed="false">
      <c r="A191" s="18" t="s">
        <v>259</v>
      </c>
      <c r="B191" s="18" t="n">
        <v>5</v>
      </c>
      <c r="C191" s="18" t="s">
        <v>312</v>
      </c>
      <c r="D191" s="18"/>
      <c r="E191" s="18"/>
      <c r="F191" s="18"/>
      <c r="G191" s="18" t="str">
        <f aca="false">IF(COUNT(D191:F191)=3,SUM(D191:F191),"")</f>
        <v/>
      </c>
      <c r="H191" s="9"/>
    </row>
    <row r="192" customFormat="false" ht="15" hidden="false" customHeight="false" outlineLevel="0" collapsed="false">
      <c r="A192" s="18" t="s">
        <v>259</v>
      </c>
      <c r="B192" s="18" t="n">
        <v>5</v>
      </c>
      <c r="C192" s="18" t="s">
        <v>313</v>
      </c>
      <c r="D192" s="18"/>
      <c r="E192" s="18"/>
      <c r="F192" s="18"/>
      <c r="G192" s="18" t="str">
        <f aca="false">IF(COUNT(D192:F192)=3,SUM(D192:F192),"")</f>
        <v/>
      </c>
      <c r="H192" s="9"/>
    </row>
    <row r="193" customFormat="false" ht="15" hidden="false" customHeight="false" outlineLevel="0" collapsed="false">
      <c r="A193" s="18" t="s">
        <v>259</v>
      </c>
      <c r="B193" s="18" t="n">
        <v>5</v>
      </c>
      <c r="C193" s="18" t="s">
        <v>314</v>
      </c>
      <c r="D193" s="18"/>
      <c r="E193" s="18"/>
      <c r="F193" s="18"/>
      <c r="G193" s="18" t="str">
        <f aca="false">IF(COUNT(D193:F193)=3,SUM(D193:F193),"")</f>
        <v/>
      </c>
      <c r="H193" s="9"/>
    </row>
    <row r="194" customFormat="false" ht="15" hidden="false" customHeight="false" outlineLevel="0" collapsed="false">
      <c r="A194" s="18" t="s">
        <v>264</v>
      </c>
      <c r="B194" s="18" t="n">
        <v>5</v>
      </c>
      <c r="C194" s="18" t="s">
        <v>311</v>
      </c>
      <c r="D194" s="18"/>
      <c r="E194" s="18"/>
      <c r="F194" s="18"/>
      <c r="G194" s="18" t="str">
        <f aca="false">IF(COUNT(D194:F194)=3,SUM(D194:F194),"")</f>
        <v/>
      </c>
      <c r="H194" s="9"/>
    </row>
    <row r="195" customFormat="false" ht="15" hidden="false" customHeight="false" outlineLevel="0" collapsed="false">
      <c r="A195" s="18" t="s">
        <v>264</v>
      </c>
      <c r="B195" s="18" t="n">
        <v>5</v>
      </c>
      <c r="C195" s="18" t="s">
        <v>312</v>
      </c>
      <c r="D195" s="18"/>
      <c r="E195" s="18"/>
      <c r="F195" s="18"/>
      <c r="G195" s="18" t="str">
        <f aca="false">IF(COUNT(D195:F195)=3,SUM(D195:F195),"")</f>
        <v/>
      </c>
      <c r="H195" s="9"/>
    </row>
    <row r="196" customFormat="false" ht="15" hidden="false" customHeight="false" outlineLevel="0" collapsed="false">
      <c r="A196" s="18" t="s">
        <v>264</v>
      </c>
      <c r="B196" s="18" t="n">
        <v>5</v>
      </c>
      <c r="C196" s="18" t="s">
        <v>313</v>
      </c>
      <c r="D196" s="18"/>
      <c r="E196" s="18"/>
      <c r="F196" s="18"/>
      <c r="G196" s="18" t="str">
        <f aca="false">IF(COUNT(D196:F196)=3,SUM(D196:F196),"")</f>
        <v/>
      </c>
      <c r="H196" s="9"/>
    </row>
    <row r="197" customFormat="false" ht="15" hidden="false" customHeight="false" outlineLevel="0" collapsed="false">
      <c r="A197" s="18" t="s">
        <v>264</v>
      </c>
      <c r="B197" s="18" t="n">
        <v>5</v>
      </c>
      <c r="C197" s="18" t="s">
        <v>314</v>
      </c>
      <c r="D197" s="18"/>
      <c r="E197" s="18"/>
      <c r="F197" s="18"/>
      <c r="G197" s="18" t="str">
        <f aca="false">IF(COUNT(D197:F197)=3,SUM(D197:F197),"")</f>
        <v/>
      </c>
      <c r="H197" s="9"/>
    </row>
    <row r="198" customFormat="false" ht="15" hidden="false" customHeight="false" outlineLevel="0" collapsed="false">
      <c r="A198" s="18" t="s">
        <v>269</v>
      </c>
      <c r="B198" s="18" t="n">
        <v>5</v>
      </c>
      <c r="C198" s="18" t="s">
        <v>311</v>
      </c>
      <c r="D198" s="18"/>
      <c r="E198" s="18"/>
      <c r="F198" s="18"/>
      <c r="G198" s="18" t="str">
        <f aca="false">IF(COUNT(D198:F198)=3,SUM(D198:F198),"")</f>
        <v/>
      </c>
      <c r="H198" s="9"/>
    </row>
    <row r="199" customFormat="false" ht="15" hidden="false" customHeight="false" outlineLevel="0" collapsed="false">
      <c r="A199" s="18" t="s">
        <v>269</v>
      </c>
      <c r="B199" s="18" t="n">
        <v>5</v>
      </c>
      <c r="C199" s="18" t="s">
        <v>312</v>
      </c>
      <c r="D199" s="18"/>
      <c r="E199" s="18"/>
      <c r="F199" s="18"/>
      <c r="G199" s="18" t="str">
        <f aca="false">IF(COUNT(D199:F199)=3,SUM(D199:F199),"")</f>
        <v/>
      </c>
      <c r="H199" s="9"/>
    </row>
    <row r="200" customFormat="false" ht="15" hidden="false" customHeight="false" outlineLevel="0" collapsed="false">
      <c r="A200" s="18" t="s">
        <v>269</v>
      </c>
      <c r="B200" s="18" t="n">
        <v>5</v>
      </c>
      <c r="C200" s="18" t="s">
        <v>313</v>
      </c>
      <c r="D200" s="18"/>
      <c r="E200" s="18"/>
      <c r="F200" s="18"/>
      <c r="G200" s="18" t="str">
        <f aca="false">IF(COUNT(D200:F200)=3,SUM(D200:F200),"")</f>
        <v/>
      </c>
      <c r="H200" s="9"/>
    </row>
    <row r="201" customFormat="false" ht="15" hidden="false" customHeight="false" outlineLevel="0" collapsed="false">
      <c r="A201" s="18" t="s">
        <v>269</v>
      </c>
      <c r="B201" s="18" t="n">
        <v>5</v>
      </c>
      <c r="C201" s="18" t="s">
        <v>314</v>
      </c>
      <c r="D201" s="18"/>
      <c r="E201" s="18"/>
      <c r="F201" s="18"/>
      <c r="G201" s="18" t="str">
        <f aca="false">IF(COUNT(D201:F201)=3,SUM(D201:F201),"")</f>
        <v/>
      </c>
      <c r="H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7" min="4" style="0" width="11"/>
    <col collapsed="false" customWidth="true" hidden="false" outlineLevel="0" max="8" min="8" style="0" width="10"/>
    <col collapsed="false" customWidth="true" hidden="false" outlineLevel="0" max="9" min="9" style="0" width="19"/>
    <col collapsed="false" customWidth="true" hidden="false" outlineLevel="0" max="10" min="10" style="0" width="12"/>
  </cols>
  <sheetData>
    <row r="1" customFormat="false" ht="30" hidden="false" customHeight="true" outlineLevel="0" collapsed="false">
      <c r="A1" s="6" t="s">
        <v>46</v>
      </c>
      <c r="B1" s="6" t="s">
        <v>47</v>
      </c>
      <c r="C1" s="6" t="s">
        <v>308</v>
      </c>
      <c r="D1" s="6" t="s">
        <v>320</v>
      </c>
      <c r="E1" s="6" t="s">
        <v>321</v>
      </c>
      <c r="F1" s="6" t="s">
        <v>322</v>
      </c>
      <c r="G1" s="6" t="s">
        <v>323</v>
      </c>
      <c r="H1" s="6" t="s">
        <v>324</v>
      </c>
      <c r="I1" s="6" t="s">
        <v>325</v>
      </c>
      <c r="J1" s="6" t="s">
        <v>326</v>
      </c>
    </row>
    <row r="2" customFormat="false" ht="15" hidden="false" customHeight="false" outlineLevel="0" collapsed="false">
      <c r="A2" s="18" t="s">
        <v>55</v>
      </c>
      <c r="B2" s="18" t="n">
        <v>1</v>
      </c>
      <c r="C2" s="18" t="s">
        <v>311</v>
      </c>
      <c r="D2" s="18" t="str">
        <f aca="false">4_Scorer_A!G2</f>
        <v/>
      </c>
      <c r="E2" s="18" t="str">
        <f aca="false">4_Scorer_B!G2</f>
        <v/>
      </c>
      <c r="F2" s="18" t="str">
        <f aca="false">4_Scorer_C!G2</f>
        <v/>
      </c>
      <c r="G2" s="18" t="str">
        <f aca="false">IF(COUNT(D2:F2)=3,AVERAGE(D2:F2),"")</f>
        <v/>
      </c>
      <c r="H2" s="18" t="str">
        <f aca="false">IF(COUNT(D2:F2)=3,MAX(D2:F2)-MIN(D2:F2),"")</f>
        <v/>
      </c>
      <c r="I2" s="18" t="str">
        <f aca="false">IF(H2="","",IF(H2&gt;1,"RECONCILE","OK"))</f>
        <v/>
      </c>
      <c r="J2" s="18" t="str">
        <f aca="false">IF(G2="","",G2)</f>
        <v/>
      </c>
    </row>
    <row r="3" customFormat="false" ht="15" hidden="false" customHeight="false" outlineLevel="0" collapsed="false">
      <c r="A3" s="18" t="s">
        <v>55</v>
      </c>
      <c r="B3" s="18" t="n">
        <v>1</v>
      </c>
      <c r="C3" s="18" t="s">
        <v>312</v>
      </c>
      <c r="D3" s="18" t="str">
        <f aca="false">4_Scorer_A!G3</f>
        <v/>
      </c>
      <c r="E3" s="18" t="str">
        <f aca="false">4_Scorer_B!G3</f>
        <v/>
      </c>
      <c r="F3" s="18" t="str">
        <f aca="false">4_Scorer_C!G3</f>
        <v/>
      </c>
      <c r="G3" s="18" t="str">
        <f aca="false">IF(COUNT(D3:F3)=3,AVERAGE(D3:F3),"")</f>
        <v/>
      </c>
      <c r="H3" s="18" t="str">
        <f aca="false">IF(COUNT(D3:F3)=3,MAX(D3:F3)-MIN(D3:F3),"")</f>
        <v/>
      </c>
      <c r="I3" s="18" t="str">
        <f aca="false">IF(H3="","",IF(H3&gt;1,"RECONCILE","OK"))</f>
        <v/>
      </c>
      <c r="J3" s="18" t="str">
        <f aca="false">IF(G3="","",G3)</f>
        <v/>
      </c>
    </row>
    <row r="4" customFormat="false" ht="15" hidden="false" customHeight="false" outlineLevel="0" collapsed="false">
      <c r="A4" s="18" t="s">
        <v>55</v>
      </c>
      <c r="B4" s="18" t="n">
        <v>1</v>
      </c>
      <c r="C4" s="18" t="s">
        <v>313</v>
      </c>
      <c r="D4" s="18" t="str">
        <f aca="false">4_Scorer_A!G4</f>
        <v/>
      </c>
      <c r="E4" s="18" t="str">
        <f aca="false">4_Scorer_B!G4</f>
        <v/>
      </c>
      <c r="F4" s="18" t="str">
        <f aca="false">4_Scorer_C!G4</f>
        <v/>
      </c>
      <c r="G4" s="18" t="str">
        <f aca="false">IF(COUNT(D4:F4)=3,AVERAGE(D4:F4),"")</f>
        <v/>
      </c>
      <c r="H4" s="18" t="str">
        <f aca="false">IF(COUNT(D4:F4)=3,MAX(D4:F4)-MIN(D4:F4),"")</f>
        <v/>
      </c>
      <c r="I4" s="18" t="str">
        <f aca="false">IF(H4="","",IF(H4&gt;1,"RECONCILE","OK"))</f>
        <v/>
      </c>
      <c r="J4" s="18" t="str">
        <f aca="false">IF(G4="","",G4)</f>
        <v/>
      </c>
    </row>
    <row r="5" customFormat="false" ht="15" hidden="false" customHeight="false" outlineLevel="0" collapsed="false">
      <c r="A5" s="18" t="s">
        <v>55</v>
      </c>
      <c r="B5" s="18" t="n">
        <v>1</v>
      </c>
      <c r="C5" s="18" t="s">
        <v>314</v>
      </c>
      <c r="D5" s="18" t="str">
        <f aca="false">4_Scorer_A!G5</f>
        <v/>
      </c>
      <c r="E5" s="18" t="str">
        <f aca="false">4_Scorer_B!G5</f>
        <v/>
      </c>
      <c r="F5" s="18" t="str">
        <f aca="false">4_Scorer_C!G5</f>
        <v/>
      </c>
      <c r="G5" s="18" t="str">
        <f aca="false">IF(COUNT(D5:F5)=3,AVERAGE(D5:F5),"")</f>
        <v/>
      </c>
      <c r="H5" s="18" t="str">
        <f aca="false">IF(COUNT(D5:F5)=3,MAX(D5:F5)-MIN(D5:F5),"")</f>
        <v/>
      </c>
      <c r="I5" s="18" t="str">
        <f aca="false">IF(H5="","",IF(H5&gt;1,"RECONCILE","OK"))</f>
        <v/>
      </c>
      <c r="J5" s="18" t="str">
        <f aca="false">IF(G5="","",G5)</f>
        <v/>
      </c>
    </row>
    <row r="6" customFormat="false" ht="15" hidden="false" customHeight="false" outlineLevel="0" collapsed="false">
      <c r="A6" s="18" t="s">
        <v>63</v>
      </c>
      <c r="B6" s="18" t="n">
        <v>1</v>
      </c>
      <c r="C6" s="18" t="s">
        <v>311</v>
      </c>
      <c r="D6" s="18" t="str">
        <f aca="false">4_Scorer_A!G6</f>
        <v/>
      </c>
      <c r="E6" s="18" t="str">
        <f aca="false">4_Scorer_B!G6</f>
        <v/>
      </c>
      <c r="F6" s="18" t="str">
        <f aca="false">4_Scorer_C!G6</f>
        <v/>
      </c>
      <c r="G6" s="18" t="str">
        <f aca="false">IF(COUNT(D6:F6)=3,AVERAGE(D6:F6),"")</f>
        <v/>
      </c>
      <c r="H6" s="18" t="str">
        <f aca="false">IF(COUNT(D6:F6)=3,MAX(D6:F6)-MIN(D6:F6),"")</f>
        <v/>
      </c>
      <c r="I6" s="18" t="str">
        <f aca="false">IF(H6="","",IF(H6&gt;1,"RECONCILE","OK"))</f>
        <v/>
      </c>
      <c r="J6" s="18" t="str">
        <f aca="false">IF(G6="","",G6)</f>
        <v/>
      </c>
    </row>
    <row r="7" customFormat="false" ht="15" hidden="false" customHeight="false" outlineLevel="0" collapsed="false">
      <c r="A7" s="18" t="s">
        <v>63</v>
      </c>
      <c r="B7" s="18" t="n">
        <v>1</v>
      </c>
      <c r="C7" s="18" t="s">
        <v>312</v>
      </c>
      <c r="D7" s="18" t="str">
        <f aca="false">4_Scorer_A!G7</f>
        <v/>
      </c>
      <c r="E7" s="18" t="str">
        <f aca="false">4_Scorer_B!G7</f>
        <v/>
      </c>
      <c r="F7" s="18" t="str">
        <f aca="false">4_Scorer_C!G7</f>
        <v/>
      </c>
      <c r="G7" s="18" t="str">
        <f aca="false">IF(COUNT(D7:F7)=3,AVERAGE(D7:F7),"")</f>
        <v/>
      </c>
      <c r="H7" s="18" t="str">
        <f aca="false">IF(COUNT(D7:F7)=3,MAX(D7:F7)-MIN(D7:F7),"")</f>
        <v/>
      </c>
      <c r="I7" s="18" t="str">
        <f aca="false">IF(H7="","",IF(H7&gt;1,"RECONCILE","OK"))</f>
        <v/>
      </c>
      <c r="J7" s="18" t="str">
        <f aca="false">IF(G7="","",G7)</f>
        <v/>
      </c>
    </row>
    <row r="8" customFormat="false" ht="15" hidden="false" customHeight="false" outlineLevel="0" collapsed="false">
      <c r="A8" s="18" t="s">
        <v>63</v>
      </c>
      <c r="B8" s="18" t="n">
        <v>1</v>
      </c>
      <c r="C8" s="18" t="s">
        <v>313</v>
      </c>
      <c r="D8" s="18" t="str">
        <f aca="false">4_Scorer_A!G8</f>
        <v/>
      </c>
      <c r="E8" s="18" t="str">
        <f aca="false">4_Scorer_B!G8</f>
        <v/>
      </c>
      <c r="F8" s="18" t="str">
        <f aca="false">4_Scorer_C!G8</f>
        <v/>
      </c>
      <c r="G8" s="18" t="str">
        <f aca="false">IF(COUNT(D8:F8)=3,AVERAGE(D8:F8),"")</f>
        <v/>
      </c>
      <c r="H8" s="18" t="str">
        <f aca="false">IF(COUNT(D8:F8)=3,MAX(D8:F8)-MIN(D8:F8),"")</f>
        <v/>
      </c>
      <c r="I8" s="18" t="str">
        <f aca="false">IF(H8="","",IF(H8&gt;1,"RECONCILE","OK"))</f>
        <v/>
      </c>
      <c r="J8" s="18" t="str">
        <f aca="false">IF(G8="","",G8)</f>
        <v/>
      </c>
    </row>
    <row r="9" customFormat="false" ht="15" hidden="false" customHeight="false" outlineLevel="0" collapsed="false">
      <c r="A9" s="18" t="s">
        <v>63</v>
      </c>
      <c r="B9" s="18" t="n">
        <v>1</v>
      </c>
      <c r="C9" s="18" t="s">
        <v>314</v>
      </c>
      <c r="D9" s="18" t="str">
        <f aca="false">4_Scorer_A!G9</f>
        <v/>
      </c>
      <c r="E9" s="18" t="str">
        <f aca="false">4_Scorer_B!G9</f>
        <v/>
      </c>
      <c r="F9" s="18" t="str">
        <f aca="false">4_Scorer_C!G9</f>
        <v/>
      </c>
      <c r="G9" s="18" t="str">
        <f aca="false">IF(COUNT(D9:F9)=3,AVERAGE(D9:F9),"")</f>
        <v/>
      </c>
      <c r="H9" s="18" t="str">
        <f aca="false">IF(COUNT(D9:F9)=3,MAX(D9:F9)-MIN(D9:F9),"")</f>
        <v/>
      </c>
      <c r="I9" s="18" t="str">
        <f aca="false">IF(H9="","",IF(H9&gt;1,"RECONCILE","OK"))</f>
        <v/>
      </c>
      <c r="J9" s="18" t="str">
        <f aca="false">IF(G9="","",G9)</f>
        <v/>
      </c>
    </row>
    <row r="10" customFormat="false" ht="15" hidden="false" customHeight="false" outlineLevel="0" collapsed="false">
      <c r="A10" s="18" t="s">
        <v>67</v>
      </c>
      <c r="B10" s="18" t="n">
        <v>1</v>
      </c>
      <c r="C10" s="18" t="s">
        <v>311</v>
      </c>
      <c r="D10" s="18" t="str">
        <f aca="false">4_Scorer_A!G10</f>
        <v/>
      </c>
      <c r="E10" s="18" t="str">
        <f aca="false">4_Scorer_B!G10</f>
        <v/>
      </c>
      <c r="F10" s="18" t="str">
        <f aca="false">4_Scorer_C!G10</f>
        <v/>
      </c>
      <c r="G10" s="18" t="str">
        <f aca="false">IF(COUNT(D10:F10)=3,AVERAGE(D10:F10),"")</f>
        <v/>
      </c>
      <c r="H10" s="18" t="str">
        <f aca="false">IF(COUNT(D10:F10)=3,MAX(D10:F10)-MIN(D10:F10),"")</f>
        <v/>
      </c>
      <c r="I10" s="18" t="str">
        <f aca="false">IF(H10="","",IF(H10&gt;1,"RECONCILE","OK"))</f>
        <v/>
      </c>
      <c r="J10" s="18" t="str">
        <f aca="false">IF(G10="","",G10)</f>
        <v/>
      </c>
    </row>
    <row r="11" customFormat="false" ht="15" hidden="false" customHeight="false" outlineLevel="0" collapsed="false">
      <c r="A11" s="18" t="s">
        <v>67</v>
      </c>
      <c r="B11" s="18" t="n">
        <v>1</v>
      </c>
      <c r="C11" s="18" t="s">
        <v>312</v>
      </c>
      <c r="D11" s="18" t="str">
        <f aca="false">4_Scorer_A!G11</f>
        <v/>
      </c>
      <c r="E11" s="18" t="str">
        <f aca="false">4_Scorer_B!G11</f>
        <v/>
      </c>
      <c r="F11" s="18" t="str">
        <f aca="false">4_Scorer_C!G11</f>
        <v/>
      </c>
      <c r="G11" s="18" t="str">
        <f aca="false">IF(COUNT(D11:F11)=3,AVERAGE(D11:F11),"")</f>
        <v/>
      </c>
      <c r="H11" s="18" t="str">
        <f aca="false">IF(COUNT(D11:F11)=3,MAX(D11:F11)-MIN(D11:F11),"")</f>
        <v/>
      </c>
      <c r="I11" s="18" t="str">
        <f aca="false">IF(H11="","",IF(H11&gt;1,"RECONCILE","OK"))</f>
        <v/>
      </c>
      <c r="J11" s="18" t="str">
        <f aca="false">IF(G11="","",G11)</f>
        <v/>
      </c>
    </row>
    <row r="12" customFormat="false" ht="15" hidden="false" customHeight="false" outlineLevel="0" collapsed="false">
      <c r="A12" s="18" t="s">
        <v>67</v>
      </c>
      <c r="B12" s="18" t="n">
        <v>1</v>
      </c>
      <c r="C12" s="18" t="s">
        <v>313</v>
      </c>
      <c r="D12" s="18" t="str">
        <f aca="false">4_Scorer_A!G12</f>
        <v/>
      </c>
      <c r="E12" s="18" t="str">
        <f aca="false">4_Scorer_B!G12</f>
        <v/>
      </c>
      <c r="F12" s="18" t="str">
        <f aca="false">4_Scorer_C!G12</f>
        <v/>
      </c>
      <c r="G12" s="18" t="str">
        <f aca="false">IF(COUNT(D12:F12)=3,AVERAGE(D12:F12),"")</f>
        <v/>
      </c>
      <c r="H12" s="18" t="str">
        <f aca="false">IF(COUNT(D12:F12)=3,MAX(D12:F12)-MIN(D12:F12),"")</f>
        <v/>
      </c>
      <c r="I12" s="18" t="str">
        <f aca="false">IF(H12="","",IF(H12&gt;1,"RECONCILE","OK"))</f>
        <v/>
      </c>
      <c r="J12" s="18" t="str">
        <f aca="false">IF(G12="","",G12)</f>
        <v/>
      </c>
    </row>
    <row r="13" customFormat="false" ht="15" hidden="false" customHeight="false" outlineLevel="0" collapsed="false">
      <c r="A13" s="18" t="s">
        <v>67</v>
      </c>
      <c r="B13" s="18" t="n">
        <v>1</v>
      </c>
      <c r="C13" s="18" t="s">
        <v>314</v>
      </c>
      <c r="D13" s="18" t="str">
        <f aca="false">4_Scorer_A!G13</f>
        <v/>
      </c>
      <c r="E13" s="18" t="str">
        <f aca="false">4_Scorer_B!G13</f>
        <v/>
      </c>
      <c r="F13" s="18" t="str">
        <f aca="false">4_Scorer_C!G13</f>
        <v/>
      </c>
      <c r="G13" s="18" t="str">
        <f aca="false">IF(COUNT(D13:F13)=3,AVERAGE(D13:F13),"")</f>
        <v/>
      </c>
      <c r="H13" s="18" t="str">
        <f aca="false">IF(COUNT(D13:F13)=3,MAX(D13:F13)-MIN(D13:F13),"")</f>
        <v/>
      </c>
      <c r="I13" s="18" t="str">
        <f aca="false">IF(H13="","",IF(H13&gt;1,"RECONCILE","OK"))</f>
        <v/>
      </c>
      <c r="J13" s="18" t="str">
        <f aca="false">IF(G13="","",G13)</f>
        <v/>
      </c>
    </row>
    <row r="14" customFormat="false" ht="15" hidden="false" customHeight="false" outlineLevel="0" collapsed="false">
      <c r="A14" s="18" t="s">
        <v>73</v>
      </c>
      <c r="B14" s="18" t="n">
        <v>1</v>
      </c>
      <c r="C14" s="18" t="s">
        <v>311</v>
      </c>
      <c r="D14" s="18" t="str">
        <f aca="false">4_Scorer_A!G14</f>
        <v/>
      </c>
      <c r="E14" s="18" t="str">
        <f aca="false">4_Scorer_B!G14</f>
        <v/>
      </c>
      <c r="F14" s="18" t="str">
        <f aca="false">4_Scorer_C!G14</f>
        <v/>
      </c>
      <c r="G14" s="18" t="str">
        <f aca="false">IF(COUNT(D14:F14)=3,AVERAGE(D14:F14),"")</f>
        <v/>
      </c>
      <c r="H14" s="18" t="str">
        <f aca="false">IF(COUNT(D14:F14)=3,MAX(D14:F14)-MIN(D14:F14),"")</f>
        <v/>
      </c>
      <c r="I14" s="18" t="str">
        <f aca="false">IF(H14="","",IF(H14&gt;1,"RECONCILE","OK"))</f>
        <v/>
      </c>
      <c r="J14" s="18" t="str">
        <f aca="false">IF(G14="","",G14)</f>
        <v/>
      </c>
    </row>
    <row r="15" customFormat="false" ht="15" hidden="false" customHeight="false" outlineLevel="0" collapsed="false">
      <c r="A15" s="18" t="s">
        <v>73</v>
      </c>
      <c r="B15" s="18" t="n">
        <v>1</v>
      </c>
      <c r="C15" s="18" t="s">
        <v>312</v>
      </c>
      <c r="D15" s="18" t="str">
        <f aca="false">4_Scorer_A!G15</f>
        <v/>
      </c>
      <c r="E15" s="18" t="str">
        <f aca="false">4_Scorer_B!G15</f>
        <v/>
      </c>
      <c r="F15" s="18" t="str">
        <f aca="false">4_Scorer_C!G15</f>
        <v/>
      </c>
      <c r="G15" s="18" t="str">
        <f aca="false">IF(COUNT(D15:F15)=3,AVERAGE(D15:F15),"")</f>
        <v/>
      </c>
      <c r="H15" s="18" t="str">
        <f aca="false">IF(COUNT(D15:F15)=3,MAX(D15:F15)-MIN(D15:F15),"")</f>
        <v/>
      </c>
      <c r="I15" s="18" t="str">
        <f aca="false">IF(H15="","",IF(H15&gt;1,"RECONCILE","OK"))</f>
        <v/>
      </c>
      <c r="J15" s="18" t="str">
        <f aca="false">IF(G15="","",G15)</f>
        <v/>
      </c>
    </row>
    <row r="16" customFormat="false" ht="15" hidden="false" customHeight="false" outlineLevel="0" collapsed="false">
      <c r="A16" s="18" t="s">
        <v>73</v>
      </c>
      <c r="B16" s="18" t="n">
        <v>1</v>
      </c>
      <c r="C16" s="18" t="s">
        <v>313</v>
      </c>
      <c r="D16" s="18" t="str">
        <f aca="false">4_Scorer_A!G16</f>
        <v/>
      </c>
      <c r="E16" s="18" t="str">
        <f aca="false">4_Scorer_B!G16</f>
        <v/>
      </c>
      <c r="F16" s="18" t="str">
        <f aca="false">4_Scorer_C!G16</f>
        <v/>
      </c>
      <c r="G16" s="18" t="str">
        <f aca="false">IF(COUNT(D16:F16)=3,AVERAGE(D16:F16),"")</f>
        <v/>
      </c>
      <c r="H16" s="18" t="str">
        <f aca="false">IF(COUNT(D16:F16)=3,MAX(D16:F16)-MIN(D16:F16),"")</f>
        <v/>
      </c>
      <c r="I16" s="18" t="str">
        <f aca="false">IF(H16="","",IF(H16&gt;1,"RECONCILE","OK"))</f>
        <v/>
      </c>
      <c r="J16" s="18" t="str">
        <f aca="false">IF(G16="","",G16)</f>
        <v/>
      </c>
    </row>
    <row r="17" customFormat="false" ht="15" hidden="false" customHeight="false" outlineLevel="0" collapsed="false">
      <c r="A17" s="18" t="s">
        <v>73</v>
      </c>
      <c r="B17" s="18" t="n">
        <v>1</v>
      </c>
      <c r="C17" s="18" t="s">
        <v>314</v>
      </c>
      <c r="D17" s="18" t="str">
        <f aca="false">4_Scorer_A!G17</f>
        <v/>
      </c>
      <c r="E17" s="18" t="str">
        <f aca="false">4_Scorer_B!G17</f>
        <v/>
      </c>
      <c r="F17" s="18" t="str">
        <f aca="false">4_Scorer_C!G17</f>
        <v/>
      </c>
      <c r="G17" s="18" t="str">
        <f aca="false">IF(COUNT(D17:F17)=3,AVERAGE(D17:F17),"")</f>
        <v/>
      </c>
      <c r="H17" s="18" t="str">
        <f aca="false">IF(COUNT(D17:F17)=3,MAX(D17:F17)-MIN(D17:F17),"")</f>
        <v/>
      </c>
      <c r="I17" s="18" t="str">
        <f aca="false">IF(H17="","",IF(H17&gt;1,"RECONCILE","OK"))</f>
        <v/>
      </c>
      <c r="J17" s="18" t="str">
        <f aca="false">IF(G17="","",G17)</f>
        <v/>
      </c>
    </row>
    <row r="18" customFormat="false" ht="15" hidden="false" customHeight="false" outlineLevel="0" collapsed="false">
      <c r="A18" s="18" t="s">
        <v>77</v>
      </c>
      <c r="B18" s="18" t="n">
        <v>1</v>
      </c>
      <c r="C18" s="18" t="s">
        <v>311</v>
      </c>
      <c r="D18" s="18" t="str">
        <f aca="false">4_Scorer_A!G18</f>
        <v/>
      </c>
      <c r="E18" s="18" t="str">
        <f aca="false">4_Scorer_B!G18</f>
        <v/>
      </c>
      <c r="F18" s="18" t="str">
        <f aca="false">4_Scorer_C!G18</f>
        <v/>
      </c>
      <c r="G18" s="18" t="str">
        <f aca="false">IF(COUNT(D18:F18)=3,AVERAGE(D18:F18),"")</f>
        <v/>
      </c>
      <c r="H18" s="18" t="str">
        <f aca="false">IF(COUNT(D18:F18)=3,MAX(D18:F18)-MIN(D18:F18),"")</f>
        <v/>
      </c>
      <c r="I18" s="18" t="str">
        <f aca="false">IF(H18="","",IF(H18&gt;1,"RECONCILE","OK"))</f>
        <v/>
      </c>
      <c r="J18" s="18" t="str">
        <f aca="false">IF(G18="","",G18)</f>
        <v/>
      </c>
    </row>
    <row r="19" customFormat="false" ht="15" hidden="false" customHeight="false" outlineLevel="0" collapsed="false">
      <c r="A19" s="18" t="s">
        <v>77</v>
      </c>
      <c r="B19" s="18" t="n">
        <v>1</v>
      </c>
      <c r="C19" s="18" t="s">
        <v>312</v>
      </c>
      <c r="D19" s="18" t="str">
        <f aca="false">4_Scorer_A!G19</f>
        <v/>
      </c>
      <c r="E19" s="18" t="str">
        <f aca="false">4_Scorer_B!G19</f>
        <v/>
      </c>
      <c r="F19" s="18" t="str">
        <f aca="false">4_Scorer_C!G19</f>
        <v/>
      </c>
      <c r="G19" s="18" t="str">
        <f aca="false">IF(COUNT(D19:F19)=3,AVERAGE(D19:F19),"")</f>
        <v/>
      </c>
      <c r="H19" s="18" t="str">
        <f aca="false">IF(COUNT(D19:F19)=3,MAX(D19:F19)-MIN(D19:F19),"")</f>
        <v/>
      </c>
      <c r="I19" s="18" t="str">
        <f aca="false">IF(H19="","",IF(H19&gt;1,"RECONCILE","OK"))</f>
        <v/>
      </c>
      <c r="J19" s="18" t="str">
        <f aca="false">IF(G19="","",G19)</f>
        <v/>
      </c>
    </row>
    <row r="20" customFormat="false" ht="15" hidden="false" customHeight="false" outlineLevel="0" collapsed="false">
      <c r="A20" s="18" t="s">
        <v>77</v>
      </c>
      <c r="B20" s="18" t="n">
        <v>1</v>
      </c>
      <c r="C20" s="18" t="s">
        <v>313</v>
      </c>
      <c r="D20" s="18" t="str">
        <f aca="false">4_Scorer_A!G20</f>
        <v/>
      </c>
      <c r="E20" s="18" t="str">
        <f aca="false">4_Scorer_B!G20</f>
        <v/>
      </c>
      <c r="F20" s="18" t="str">
        <f aca="false">4_Scorer_C!G20</f>
        <v/>
      </c>
      <c r="G20" s="18" t="str">
        <f aca="false">IF(COUNT(D20:F20)=3,AVERAGE(D20:F20),"")</f>
        <v/>
      </c>
      <c r="H20" s="18" t="str">
        <f aca="false">IF(COUNT(D20:F20)=3,MAX(D20:F20)-MIN(D20:F20),"")</f>
        <v/>
      </c>
      <c r="I20" s="18" t="str">
        <f aca="false">IF(H20="","",IF(H20&gt;1,"RECONCILE","OK"))</f>
        <v/>
      </c>
      <c r="J20" s="18" t="str">
        <f aca="false">IF(G20="","",G20)</f>
        <v/>
      </c>
    </row>
    <row r="21" customFormat="false" ht="15" hidden="false" customHeight="false" outlineLevel="0" collapsed="false">
      <c r="A21" s="18" t="s">
        <v>77</v>
      </c>
      <c r="B21" s="18" t="n">
        <v>1</v>
      </c>
      <c r="C21" s="18" t="s">
        <v>314</v>
      </c>
      <c r="D21" s="18" t="str">
        <f aca="false">4_Scorer_A!G21</f>
        <v/>
      </c>
      <c r="E21" s="18" t="str">
        <f aca="false">4_Scorer_B!G21</f>
        <v/>
      </c>
      <c r="F21" s="18" t="str">
        <f aca="false">4_Scorer_C!G21</f>
        <v/>
      </c>
      <c r="G21" s="18" t="str">
        <f aca="false">IF(COUNT(D21:F21)=3,AVERAGE(D21:F21),"")</f>
        <v/>
      </c>
      <c r="H21" s="18" t="str">
        <f aca="false">IF(COUNT(D21:F21)=3,MAX(D21:F21)-MIN(D21:F21),"")</f>
        <v/>
      </c>
      <c r="I21" s="18" t="str">
        <f aca="false">IF(H21="","",IF(H21&gt;1,"RECONCILE","OK"))</f>
        <v/>
      </c>
      <c r="J21" s="18" t="str">
        <f aca="false">IF(G21="","",G21)</f>
        <v/>
      </c>
    </row>
    <row r="22" customFormat="false" ht="15" hidden="false" customHeight="false" outlineLevel="0" collapsed="false">
      <c r="A22" s="18" t="s">
        <v>81</v>
      </c>
      <c r="B22" s="18" t="n">
        <v>1</v>
      </c>
      <c r="C22" s="18" t="s">
        <v>311</v>
      </c>
      <c r="D22" s="18" t="str">
        <f aca="false">4_Scorer_A!G22</f>
        <v/>
      </c>
      <c r="E22" s="18" t="str">
        <f aca="false">4_Scorer_B!G22</f>
        <v/>
      </c>
      <c r="F22" s="18" t="str">
        <f aca="false">4_Scorer_C!G22</f>
        <v/>
      </c>
      <c r="G22" s="18" t="str">
        <f aca="false">IF(COUNT(D22:F22)=3,AVERAGE(D22:F22),"")</f>
        <v/>
      </c>
      <c r="H22" s="18" t="str">
        <f aca="false">IF(COUNT(D22:F22)=3,MAX(D22:F22)-MIN(D22:F22),"")</f>
        <v/>
      </c>
      <c r="I22" s="18" t="str">
        <f aca="false">IF(H22="","",IF(H22&gt;1,"RECONCILE","OK"))</f>
        <v/>
      </c>
      <c r="J22" s="18" t="str">
        <f aca="false">IF(G22="","",G22)</f>
        <v/>
      </c>
    </row>
    <row r="23" customFormat="false" ht="15" hidden="false" customHeight="false" outlineLevel="0" collapsed="false">
      <c r="A23" s="18" t="s">
        <v>81</v>
      </c>
      <c r="B23" s="18" t="n">
        <v>1</v>
      </c>
      <c r="C23" s="18" t="s">
        <v>312</v>
      </c>
      <c r="D23" s="18" t="str">
        <f aca="false">4_Scorer_A!G23</f>
        <v/>
      </c>
      <c r="E23" s="18" t="str">
        <f aca="false">4_Scorer_B!G23</f>
        <v/>
      </c>
      <c r="F23" s="18" t="str">
        <f aca="false">4_Scorer_C!G23</f>
        <v/>
      </c>
      <c r="G23" s="18" t="str">
        <f aca="false">IF(COUNT(D23:F23)=3,AVERAGE(D23:F23),"")</f>
        <v/>
      </c>
      <c r="H23" s="18" t="str">
        <f aca="false">IF(COUNT(D23:F23)=3,MAX(D23:F23)-MIN(D23:F23),"")</f>
        <v/>
      </c>
      <c r="I23" s="18" t="str">
        <f aca="false">IF(H23="","",IF(H23&gt;1,"RECONCILE","OK"))</f>
        <v/>
      </c>
      <c r="J23" s="18" t="str">
        <f aca="false">IF(G23="","",G23)</f>
        <v/>
      </c>
    </row>
    <row r="24" customFormat="false" ht="15" hidden="false" customHeight="false" outlineLevel="0" collapsed="false">
      <c r="A24" s="18" t="s">
        <v>81</v>
      </c>
      <c r="B24" s="18" t="n">
        <v>1</v>
      </c>
      <c r="C24" s="18" t="s">
        <v>313</v>
      </c>
      <c r="D24" s="18" t="str">
        <f aca="false">4_Scorer_A!G24</f>
        <v/>
      </c>
      <c r="E24" s="18" t="str">
        <f aca="false">4_Scorer_B!G24</f>
        <v/>
      </c>
      <c r="F24" s="18" t="str">
        <f aca="false">4_Scorer_C!G24</f>
        <v/>
      </c>
      <c r="G24" s="18" t="str">
        <f aca="false">IF(COUNT(D24:F24)=3,AVERAGE(D24:F24),"")</f>
        <v/>
      </c>
      <c r="H24" s="18" t="str">
        <f aca="false">IF(COUNT(D24:F24)=3,MAX(D24:F24)-MIN(D24:F24),"")</f>
        <v/>
      </c>
      <c r="I24" s="18" t="str">
        <f aca="false">IF(H24="","",IF(H24&gt;1,"RECONCILE","OK"))</f>
        <v/>
      </c>
      <c r="J24" s="18" t="str">
        <f aca="false">IF(G24="","",G24)</f>
        <v/>
      </c>
    </row>
    <row r="25" customFormat="false" ht="15" hidden="false" customHeight="false" outlineLevel="0" collapsed="false">
      <c r="A25" s="18" t="s">
        <v>81</v>
      </c>
      <c r="B25" s="18" t="n">
        <v>1</v>
      </c>
      <c r="C25" s="18" t="s">
        <v>314</v>
      </c>
      <c r="D25" s="18" t="str">
        <f aca="false">4_Scorer_A!G25</f>
        <v/>
      </c>
      <c r="E25" s="18" t="str">
        <f aca="false">4_Scorer_B!G25</f>
        <v/>
      </c>
      <c r="F25" s="18" t="str">
        <f aca="false">4_Scorer_C!G25</f>
        <v/>
      </c>
      <c r="G25" s="18" t="str">
        <f aca="false">IF(COUNT(D25:F25)=3,AVERAGE(D25:F25),"")</f>
        <v/>
      </c>
      <c r="H25" s="18" t="str">
        <f aca="false">IF(COUNT(D25:F25)=3,MAX(D25:F25)-MIN(D25:F25),"")</f>
        <v/>
      </c>
      <c r="I25" s="18" t="str">
        <f aca="false">IF(H25="","",IF(H25&gt;1,"RECONCILE","OK"))</f>
        <v/>
      </c>
      <c r="J25" s="18" t="str">
        <f aca="false">IF(G25="","",G25)</f>
        <v/>
      </c>
    </row>
    <row r="26" customFormat="false" ht="15" hidden="false" customHeight="false" outlineLevel="0" collapsed="false">
      <c r="A26" s="18" t="s">
        <v>85</v>
      </c>
      <c r="B26" s="18" t="n">
        <v>1</v>
      </c>
      <c r="C26" s="18" t="s">
        <v>311</v>
      </c>
      <c r="D26" s="18" t="str">
        <f aca="false">4_Scorer_A!G26</f>
        <v/>
      </c>
      <c r="E26" s="18" t="str">
        <f aca="false">4_Scorer_B!G26</f>
        <v/>
      </c>
      <c r="F26" s="18" t="str">
        <f aca="false">4_Scorer_C!G26</f>
        <v/>
      </c>
      <c r="G26" s="18" t="str">
        <f aca="false">IF(COUNT(D26:F26)=3,AVERAGE(D26:F26),"")</f>
        <v/>
      </c>
      <c r="H26" s="18" t="str">
        <f aca="false">IF(COUNT(D26:F26)=3,MAX(D26:F26)-MIN(D26:F26),"")</f>
        <v/>
      </c>
      <c r="I26" s="18" t="str">
        <f aca="false">IF(H26="","",IF(H26&gt;1,"RECONCILE","OK"))</f>
        <v/>
      </c>
      <c r="J26" s="18" t="str">
        <f aca="false">IF(G26="","",G26)</f>
        <v/>
      </c>
    </row>
    <row r="27" customFormat="false" ht="15" hidden="false" customHeight="false" outlineLevel="0" collapsed="false">
      <c r="A27" s="18" t="s">
        <v>85</v>
      </c>
      <c r="B27" s="18" t="n">
        <v>1</v>
      </c>
      <c r="C27" s="18" t="s">
        <v>312</v>
      </c>
      <c r="D27" s="18" t="str">
        <f aca="false">4_Scorer_A!G27</f>
        <v/>
      </c>
      <c r="E27" s="18" t="str">
        <f aca="false">4_Scorer_B!G27</f>
        <v/>
      </c>
      <c r="F27" s="18" t="str">
        <f aca="false">4_Scorer_C!G27</f>
        <v/>
      </c>
      <c r="G27" s="18" t="str">
        <f aca="false">IF(COUNT(D27:F27)=3,AVERAGE(D27:F27),"")</f>
        <v/>
      </c>
      <c r="H27" s="18" t="str">
        <f aca="false">IF(COUNT(D27:F27)=3,MAX(D27:F27)-MIN(D27:F27),"")</f>
        <v/>
      </c>
      <c r="I27" s="18" t="str">
        <f aca="false">IF(H27="","",IF(H27&gt;1,"RECONCILE","OK"))</f>
        <v/>
      </c>
      <c r="J27" s="18" t="str">
        <f aca="false">IF(G27="","",G27)</f>
        <v/>
      </c>
    </row>
    <row r="28" customFormat="false" ht="15" hidden="false" customHeight="false" outlineLevel="0" collapsed="false">
      <c r="A28" s="18" t="s">
        <v>85</v>
      </c>
      <c r="B28" s="18" t="n">
        <v>1</v>
      </c>
      <c r="C28" s="18" t="s">
        <v>313</v>
      </c>
      <c r="D28" s="18" t="str">
        <f aca="false">4_Scorer_A!G28</f>
        <v/>
      </c>
      <c r="E28" s="18" t="str">
        <f aca="false">4_Scorer_B!G28</f>
        <v/>
      </c>
      <c r="F28" s="18" t="str">
        <f aca="false">4_Scorer_C!G28</f>
        <v/>
      </c>
      <c r="G28" s="18" t="str">
        <f aca="false">IF(COUNT(D28:F28)=3,AVERAGE(D28:F28),"")</f>
        <v/>
      </c>
      <c r="H28" s="18" t="str">
        <f aca="false">IF(COUNT(D28:F28)=3,MAX(D28:F28)-MIN(D28:F28),"")</f>
        <v/>
      </c>
      <c r="I28" s="18" t="str">
        <f aca="false">IF(H28="","",IF(H28&gt;1,"RECONCILE","OK"))</f>
        <v/>
      </c>
      <c r="J28" s="18" t="str">
        <f aca="false">IF(G28="","",G28)</f>
        <v/>
      </c>
    </row>
    <row r="29" customFormat="false" ht="15" hidden="false" customHeight="false" outlineLevel="0" collapsed="false">
      <c r="A29" s="18" t="s">
        <v>85</v>
      </c>
      <c r="B29" s="18" t="n">
        <v>1</v>
      </c>
      <c r="C29" s="18" t="s">
        <v>314</v>
      </c>
      <c r="D29" s="18" t="str">
        <f aca="false">4_Scorer_A!G29</f>
        <v/>
      </c>
      <c r="E29" s="18" t="str">
        <f aca="false">4_Scorer_B!G29</f>
        <v/>
      </c>
      <c r="F29" s="18" t="str">
        <f aca="false">4_Scorer_C!G29</f>
        <v/>
      </c>
      <c r="G29" s="18" t="str">
        <f aca="false">IF(COUNT(D29:F29)=3,AVERAGE(D29:F29),"")</f>
        <v/>
      </c>
      <c r="H29" s="18" t="str">
        <f aca="false">IF(COUNT(D29:F29)=3,MAX(D29:F29)-MIN(D29:F29),"")</f>
        <v/>
      </c>
      <c r="I29" s="18" t="str">
        <f aca="false">IF(H29="","",IF(H29&gt;1,"RECONCILE","OK"))</f>
        <v/>
      </c>
      <c r="J29" s="18" t="str">
        <f aca="false">IF(G29="","",G29)</f>
        <v/>
      </c>
    </row>
    <row r="30" customFormat="false" ht="15" hidden="false" customHeight="false" outlineLevel="0" collapsed="false">
      <c r="A30" s="18" t="s">
        <v>89</v>
      </c>
      <c r="B30" s="18" t="n">
        <v>1</v>
      </c>
      <c r="C30" s="18" t="s">
        <v>311</v>
      </c>
      <c r="D30" s="18" t="str">
        <f aca="false">4_Scorer_A!G30</f>
        <v/>
      </c>
      <c r="E30" s="18" t="str">
        <f aca="false">4_Scorer_B!G30</f>
        <v/>
      </c>
      <c r="F30" s="18" t="str">
        <f aca="false">4_Scorer_C!G30</f>
        <v/>
      </c>
      <c r="G30" s="18" t="str">
        <f aca="false">IF(COUNT(D30:F30)=3,AVERAGE(D30:F30),"")</f>
        <v/>
      </c>
      <c r="H30" s="18" t="str">
        <f aca="false">IF(COUNT(D30:F30)=3,MAX(D30:F30)-MIN(D30:F30),"")</f>
        <v/>
      </c>
      <c r="I30" s="18" t="str">
        <f aca="false">IF(H30="","",IF(H30&gt;1,"RECONCILE","OK"))</f>
        <v/>
      </c>
      <c r="J30" s="18" t="str">
        <f aca="false">IF(G30="","",G30)</f>
        <v/>
      </c>
    </row>
    <row r="31" customFormat="false" ht="15" hidden="false" customHeight="false" outlineLevel="0" collapsed="false">
      <c r="A31" s="18" t="s">
        <v>89</v>
      </c>
      <c r="B31" s="18" t="n">
        <v>1</v>
      </c>
      <c r="C31" s="18" t="s">
        <v>312</v>
      </c>
      <c r="D31" s="18" t="str">
        <f aca="false">4_Scorer_A!G31</f>
        <v/>
      </c>
      <c r="E31" s="18" t="str">
        <f aca="false">4_Scorer_B!G31</f>
        <v/>
      </c>
      <c r="F31" s="18" t="str">
        <f aca="false">4_Scorer_C!G31</f>
        <v/>
      </c>
      <c r="G31" s="18" t="str">
        <f aca="false">IF(COUNT(D31:F31)=3,AVERAGE(D31:F31),"")</f>
        <v/>
      </c>
      <c r="H31" s="18" t="str">
        <f aca="false">IF(COUNT(D31:F31)=3,MAX(D31:F31)-MIN(D31:F31),"")</f>
        <v/>
      </c>
      <c r="I31" s="18" t="str">
        <f aca="false">IF(H31="","",IF(H31&gt;1,"RECONCILE","OK"))</f>
        <v/>
      </c>
      <c r="J31" s="18" t="str">
        <f aca="false">IF(G31="","",G31)</f>
        <v/>
      </c>
    </row>
    <row r="32" customFormat="false" ht="15" hidden="false" customHeight="false" outlineLevel="0" collapsed="false">
      <c r="A32" s="18" t="s">
        <v>89</v>
      </c>
      <c r="B32" s="18" t="n">
        <v>1</v>
      </c>
      <c r="C32" s="18" t="s">
        <v>313</v>
      </c>
      <c r="D32" s="18" t="str">
        <f aca="false">4_Scorer_A!G32</f>
        <v/>
      </c>
      <c r="E32" s="18" t="str">
        <f aca="false">4_Scorer_B!G32</f>
        <v/>
      </c>
      <c r="F32" s="18" t="str">
        <f aca="false">4_Scorer_C!G32</f>
        <v/>
      </c>
      <c r="G32" s="18" t="str">
        <f aca="false">IF(COUNT(D32:F32)=3,AVERAGE(D32:F32),"")</f>
        <v/>
      </c>
      <c r="H32" s="18" t="str">
        <f aca="false">IF(COUNT(D32:F32)=3,MAX(D32:F32)-MIN(D32:F32),"")</f>
        <v/>
      </c>
      <c r="I32" s="18" t="str">
        <f aca="false">IF(H32="","",IF(H32&gt;1,"RECONCILE","OK"))</f>
        <v/>
      </c>
      <c r="J32" s="18" t="str">
        <f aca="false">IF(G32="","",G32)</f>
        <v/>
      </c>
    </row>
    <row r="33" customFormat="false" ht="15" hidden="false" customHeight="false" outlineLevel="0" collapsed="false">
      <c r="A33" s="18" t="s">
        <v>89</v>
      </c>
      <c r="B33" s="18" t="n">
        <v>1</v>
      </c>
      <c r="C33" s="18" t="s">
        <v>314</v>
      </c>
      <c r="D33" s="18" t="str">
        <f aca="false">4_Scorer_A!G33</f>
        <v/>
      </c>
      <c r="E33" s="18" t="str">
        <f aca="false">4_Scorer_B!G33</f>
        <v/>
      </c>
      <c r="F33" s="18" t="str">
        <f aca="false">4_Scorer_C!G33</f>
        <v/>
      </c>
      <c r="G33" s="18" t="str">
        <f aca="false">IF(COUNT(D33:F33)=3,AVERAGE(D33:F33),"")</f>
        <v/>
      </c>
      <c r="H33" s="18" t="str">
        <f aca="false">IF(COUNT(D33:F33)=3,MAX(D33:F33)-MIN(D33:F33),"")</f>
        <v/>
      </c>
      <c r="I33" s="18" t="str">
        <f aca="false">IF(H33="","",IF(H33&gt;1,"RECONCILE","OK"))</f>
        <v/>
      </c>
      <c r="J33" s="18" t="str">
        <f aca="false">IF(G33="","",G33)</f>
        <v/>
      </c>
    </row>
    <row r="34" customFormat="false" ht="15" hidden="false" customHeight="false" outlineLevel="0" collapsed="false">
      <c r="A34" s="18" t="s">
        <v>93</v>
      </c>
      <c r="B34" s="18" t="n">
        <v>1</v>
      </c>
      <c r="C34" s="18" t="s">
        <v>311</v>
      </c>
      <c r="D34" s="18" t="str">
        <f aca="false">4_Scorer_A!G34</f>
        <v/>
      </c>
      <c r="E34" s="18" t="str">
        <f aca="false">4_Scorer_B!G34</f>
        <v/>
      </c>
      <c r="F34" s="18" t="str">
        <f aca="false">4_Scorer_C!G34</f>
        <v/>
      </c>
      <c r="G34" s="18" t="str">
        <f aca="false">IF(COUNT(D34:F34)=3,AVERAGE(D34:F34),"")</f>
        <v/>
      </c>
      <c r="H34" s="18" t="str">
        <f aca="false">IF(COUNT(D34:F34)=3,MAX(D34:F34)-MIN(D34:F34),"")</f>
        <v/>
      </c>
      <c r="I34" s="18" t="str">
        <f aca="false">IF(H34="","",IF(H34&gt;1,"RECONCILE","OK"))</f>
        <v/>
      </c>
      <c r="J34" s="18" t="str">
        <f aca="false">IF(G34="","",G34)</f>
        <v/>
      </c>
    </row>
    <row r="35" customFormat="false" ht="15" hidden="false" customHeight="false" outlineLevel="0" collapsed="false">
      <c r="A35" s="18" t="s">
        <v>93</v>
      </c>
      <c r="B35" s="18" t="n">
        <v>1</v>
      </c>
      <c r="C35" s="18" t="s">
        <v>312</v>
      </c>
      <c r="D35" s="18" t="str">
        <f aca="false">4_Scorer_A!G35</f>
        <v/>
      </c>
      <c r="E35" s="18" t="str">
        <f aca="false">4_Scorer_B!G35</f>
        <v/>
      </c>
      <c r="F35" s="18" t="str">
        <f aca="false">4_Scorer_C!G35</f>
        <v/>
      </c>
      <c r="G35" s="18" t="str">
        <f aca="false">IF(COUNT(D35:F35)=3,AVERAGE(D35:F35),"")</f>
        <v/>
      </c>
      <c r="H35" s="18" t="str">
        <f aca="false">IF(COUNT(D35:F35)=3,MAX(D35:F35)-MIN(D35:F35),"")</f>
        <v/>
      </c>
      <c r="I35" s="18" t="str">
        <f aca="false">IF(H35="","",IF(H35&gt;1,"RECONCILE","OK"))</f>
        <v/>
      </c>
      <c r="J35" s="18" t="str">
        <f aca="false">IF(G35="","",G35)</f>
        <v/>
      </c>
    </row>
    <row r="36" customFormat="false" ht="15" hidden="false" customHeight="false" outlineLevel="0" collapsed="false">
      <c r="A36" s="18" t="s">
        <v>93</v>
      </c>
      <c r="B36" s="18" t="n">
        <v>1</v>
      </c>
      <c r="C36" s="18" t="s">
        <v>313</v>
      </c>
      <c r="D36" s="18" t="str">
        <f aca="false">4_Scorer_A!G36</f>
        <v/>
      </c>
      <c r="E36" s="18" t="str">
        <f aca="false">4_Scorer_B!G36</f>
        <v/>
      </c>
      <c r="F36" s="18" t="str">
        <f aca="false">4_Scorer_C!G36</f>
        <v/>
      </c>
      <c r="G36" s="18" t="str">
        <f aca="false">IF(COUNT(D36:F36)=3,AVERAGE(D36:F36),"")</f>
        <v/>
      </c>
      <c r="H36" s="18" t="str">
        <f aca="false">IF(COUNT(D36:F36)=3,MAX(D36:F36)-MIN(D36:F36),"")</f>
        <v/>
      </c>
      <c r="I36" s="18" t="str">
        <f aca="false">IF(H36="","",IF(H36&gt;1,"RECONCILE","OK"))</f>
        <v/>
      </c>
      <c r="J36" s="18" t="str">
        <f aca="false">IF(G36="","",G36)</f>
        <v/>
      </c>
    </row>
    <row r="37" customFormat="false" ht="15" hidden="false" customHeight="false" outlineLevel="0" collapsed="false">
      <c r="A37" s="18" t="s">
        <v>93</v>
      </c>
      <c r="B37" s="18" t="n">
        <v>1</v>
      </c>
      <c r="C37" s="18" t="s">
        <v>314</v>
      </c>
      <c r="D37" s="18" t="str">
        <f aca="false">4_Scorer_A!G37</f>
        <v/>
      </c>
      <c r="E37" s="18" t="str">
        <f aca="false">4_Scorer_B!G37</f>
        <v/>
      </c>
      <c r="F37" s="18" t="str">
        <f aca="false">4_Scorer_C!G37</f>
        <v/>
      </c>
      <c r="G37" s="18" t="str">
        <f aca="false">IF(COUNT(D37:F37)=3,AVERAGE(D37:F37),"")</f>
        <v/>
      </c>
      <c r="H37" s="18" t="str">
        <f aca="false">IF(COUNT(D37:F37)=3,MAX(D37:F37)-MIN(D37:F37),"")</f>
        <v/>
      </c>
      <c r="I37" s="18" t="str">
        <f aca="false">IF(H37="","",IF(H37&gt;1,"RECONCILE","OK"))</f>
        <v/>
      </c>
      <c r="J37" s="18" t="str">
        <f aca="false">IF(G37="","",G37)</f>
        <v/>
      </c>
    </row>
    <row r="38" customFormat="false" ht="15" hidden="false" customHeight="false" outlineLevel="0" collapsed="false">
      <c r="A38" s="18" t="s">
        <v>98</v>
      </c>
      <c r="B38" s="18" t="n">
        <v>1</v>
      </c>
      <c r="C38" s="18" t="s">
        <v>311</v>
      </c>
      <c r="D38" s="18" t="str">
        <f aca="false">4_Scorer_A!G38</f>
        <v/>
      </c>
      <c r="E38" s="18" t="str">
        <f aca="false">4_Scorer_B!G38</f>
        <v/>
      </c>
      <c r="F38" s="18" t="str">
        <f aca="false">4_Scorer_C!G38</f>
        <v/>
      </c>
      <c r="G38" s="18" t="str">
        <f aca="false">IF(COUNT(D38:F38)=3,AVERAGE(D38:F38),"")</f>
        <v/>
      </c>
      <c r="H38" s="18" t="str">
        <f aca="false">IF(COUNT(D38:F38)=3,MAX(D38:F38)-MIN(D38:F38),"")</f>
        <v/>
      </c>
      <c r="I38" s="18" t="str">
        <f aca="false">IF(H38="","",IF(H38&gt;1,"RECONCILE","OK"))</f>
        <v/>
      </c>
      <c r="J38" s="18" t="str">
        <f aca="false">IF(G38="","",G38)</f>
        <v/>
      </c>
    </row>
    <row r="39" customFormat="false" ht="15" hidden="false" customHeight="false" outlineLevel="0" collapsed="false">
      <c r="A39" s="18" t="s">
        <v>98</v>
      </c>
      <c r="B39" s="18" t="n">
        <v>1</v>
      </c>
      <c r="C39" s="18" t="s">
        <v>312</v>
      </c>
      <c r="D39" s="18" t="str">
        <f aca="false">4_Scorer_A!G39</f>
        <v/>
      </c>
      <c r="E39" s="18" t="str">
        <f aca="false">4_Scorer_B!G39</f>
        <v/>
      </c>
      <c r="F39" s="18" t="str">
        <f aca="false">4_Scorer_C!G39</f>
        <v/>
      </c>
      <c r="G39" s="18" t="str">
        <f aca="false">IF(COUNT(D39:F39)=3,AVERAGE(D39:F39),"")</f>
        <v/>
      </c>
      <c r="H39" s="18" t="str">
        <f aca="false">IF(COUNT(D39:F39)=3,MAX(D39:F39)-MIN(D39:F39),"")</f>
        <v/>
      </c>
      <c r="I39" s="18" t="str">
        <f aca="false">IF(H39="","",IF(H39&gt;1,"RECONCILE","OK"))</f>
        <v/>
      </c>
      <c r="J39" s="18" t="str">
        <f aca="false">IF(G39="","",G39)</f>
        <v/>
      </c>
    </row>
    <row r="40" customFormat="false" ht="15" hidden="false" customHeight="false" outlineLevel="0" collapsed="false">
      <c r="A40" s="18" t="s">
        <v>98</v>
      </c>
      <c r="B40" s="18" t="n">
        <v>1</v>
      </c>
      <c r="C40" s="18" t="s">
        <v>313</v>
      </c>
      <c r="D40" s="18" t="str">
        <f aca="false">4_Scorer_A!G40</f>
        <v/>
      </c>
      <c r="E40" s="18" t="str">
        <f aca="false">4_Scorer_B!G40</f>
        <v/>
      </c>
      <c r="F40" s="18" t="str">
        <f aca="false">4_Scorer_C!G40</f>
        <v/>
      </c>
      <c r="G40" s="18" t="str">
        <f aca="false">IF(COUNT(D40:F40)=3,AVERAGE(D40:F40),"")</f>
        <v/>
      </c>
      <c r="H40" s="18" t="str">
        <f aca="false">IF(COUNT(D40:F40)=3,MAX(D40:F40)-MIN(D40:F40),"")</f>
        <v/>
      </c>
      <c r="I40" s="18" t="str">
        <f aca="false">IF(H40="","",IF(H40&gt;1,"RECONCILE","OK"))</f>
        <v/>
      </c>
      <c r="J40" s="18" t="str">
        <f aca="false">IF(G40="","",G40)</f>
        <v/>
      </c>
    </row>
    <row r="41" customFormat="false" ht="15" hidden="false" customHeight="false" outlineLevel="0" collapsed="false">
      <c r="A41" s="18" t="s">
        <v>98</v>
      </c>
      <c r="B41" s="18" t="n">
        <v>1</v>
      </c>
      <c r="C41" s="18" t="s">
        <v>314</v>
      </c>
      <c r="D41" s="18" t="str">
        <f aca="false">4_Scorer_A!G41</f>
        <v/>
      </c>
      <c r="E41" s="18" t="str">
        <f aca="false">4_Scorer_B!G41</f>
        <v/>
      </c>
      <c r="F41" s="18" t="str">
        <f aca="false">4_Scorer_C!G41</f>
        <v/>
      </c>
      <c r="G41" s="18" t="str">
        <f aca="false">IF(COUNT(D41:F41)=3,AVERAGE(D41:F41),"")</f>
        <v/>
      </c>
      <c r="H41" s="18" t="str">
        <f aca="false">IF(COUNT(D41:F41)=3,MAX(D41:F41)-MIN(D41:F41),"")</f>
        <v/>
      </c>
      <c r="I41" s="18" t="str">
        <f aca="false">IF(H41="","",IF(H41&gt;1,"RECONCILE","OK"))</f>
        <v/>
      </c>
      <c r="J41" s="18" t="str">
        <f aca="false">IF(G41="","",G41)</f>
        <v/>
      </c>
    </row>
    <row r="42" customFormat="false" ht="15" hidden="false" customHeight="false" outlineLevel="0" collapsed="false">
      <c r="A42" s="18" t="s">
        <v>102</v>
      </c>
      <c r="B42" s="18" t="n">
        <v>2</v>
      </c>
      <c r="C42" s="18" t="s">
        <v>311</v>
      </c>
      <c r="D42" s="18" t="str">
        <f aca="false">4_Scorer_A!G42</f>
        <v/>
      </c>
      <c r="E42" s="18" t="str">
        <f aca="false">4_Scorer_B!G42</f>
        <v/>
      </c>
      <c r="F42" s="18" t="str">
        <f aca="false">4_Scorer_C!G42</f>
        <v/>
      </c>
      <c r="G42" s="18" t="str">
        <f aca="false">IF(COUNT(D42:F42)=3,AVERAGE(D42:F42),"")</f>
        <v/>
      </c>
      <c r="H42" s="18" t="str">
        <f aca="false">IF(COUNT(D42:F42)=3,MAX(D42:F42)-MIN(D42:F42),"")</f>
        <v/>
      </c>
      <c r="I42" s="18" t="str">
        <f aca="false">IF(H42="","",IF(H42&gt;1,"RECONCILE","OK"))</f>
        <v/>
      </c>
      <c r="J42" s="18" t="str">
        <f aca="false">IF(G42="","",G42)</f>
        <v/>
      </c>
    </row>
    <row r="43" customFormat="false" ht="15" hidden="false" customHeight="false" outlineLevel="0" collapsed="false">
      <c r="A43" s="18" t="s">
        <v>102</v>
      </c>
      <c r="B43" s="18" t="n">
        <v>2</v>
      </c>
      <c r="C43" s="18" t="s">
        <v>312</v>
      </c>
      <c r="D43" s="18" t="str">
        <f aca="false">4_Scorer_A!G43</f>
        <v/>
      </c>
      <c r="E43" s="18" t="str">
        <f aca="false">4_Scorer_B!G43</f>
        <v/>
      </c>
      <c r="F43" s="18" t="str">
        <f aca="false">4_Scorer_C!G43</f>
        <v/>
      </c>
      <c r="G43" s="18" t="str">
        <f aca="false">IF(COUNT(D43:F43)=3,AVERAGE(D43:F43),"")</f>
        <v/>
      </c>
      <c r="H43" s="18" t="str">
        <f aca="false">IF(COUNT(D43:F43)=3,MAX(D43:F43)-MIN(D43:F43),"")</f>
        <v/>
      </c>
      <c r="I43" s="18" t="str">
        <f aca="false">IF(H43="","",IF(H43&gt;1,"RECONCILE","OK"))</f>
        <v/>
      </c>
      <c r="J43" s="18" t="str">
        <f aca="false">IF(G43="","",G43)</f>
        <v/>
      </c>
    </row>
    <row r="44" customFormat="false" ht="15" hidden="false" customHeight="false" outlineLevel="0" collapsed="false">
      <c r="A44" s="18" t="s">
        <v>102</v>
      </c>
      <c r="B44" s="18" t="n">
        <v>2</v>
      </c>
      <c r="C44" s="18" t="s">
        <v>313</v>
      </c>
      <c r="D44" s="18" t="str">
        <f aca="false">4_Scorer_A!G44</f>
        <v/>
      </c>
      <c r="E44" s="18" t="str">
        <f aca="false">4_Scorer_B!G44</f>
        <v/>
      </c>
      <c r="F44" s="18" t="str">
        <f aca="false">4_Scorer_C!G44</f>
        <v/>
      </c>
      <c r="G44" s="18" t="str">
        <f aca="false">IF(COUNT(D44:F44)=3,AVERAGE(D44:F44),"")</f>
        <v/>
      </c>
      <c r="H44" s="18" t="str">
        <f aca="false">IF(COUNT(D44:F44)=3,MAX(D44:F44)-MIN(D44:F44),"")</f>
        <v/>
      </c>
      <c r="I44" s="18" t="str">
        <f aca="false">IF(H44="","",IF(H44&gt;1,"RECONCILE","OK"))</f>
        <v/>
      </c>
      <c r="J44" s="18" t="str">
        <f aca="false">IF(G44="","",G44)</f>
        <v/>
      </c>
    </row>
    <row r="45" customFormat="false" ht="15" hidden="false" customHeight="false" outlineLevel="0" collapsed="false">
      <c r="A45" s="18" t="s">
        <v>102</v>
      </c>
      <c r="B45" s="18" t="n">
        <v>2</v>
      </c>
      <c r="C45" s="18" t="s">
        <v>314</v>
      </c>
      <c r="D45" s="18" t="str">
        <f aca="false">4_Scorer_A!G45</f>
        <v/>
      </c>
      <c r="E45" s="18" t="str">
        <f aca="false">4_Scorer_B!G45</f>
        <v/>
      </c>
      <c r="F45" s="18" t="str">
        <f aca="false">4_Scorer_C!G45</f>
        <v/>
      </c>
      <c r="G45" s="18" t="str">
        <f aca="false">IF(COUNT(D45:F45)=3,AVERAGE(D45:F45),"")</f>
        <v/>
      </c>
      <c r="H45" s="18" t="str">
        <f aca="false">IF(COUNT(D45:F45)=3,MAX(D45:F45)-MIN(D45:F45),"")</f>
        <v/>
      </c>
      <c r="I45" s="18" t="str">
        <f aca="false">IF(H45="","",IF(H45&gt;1,"RECONCILE","OK"))</f>
        <v/>
      </c>
      <c r="J45" s="18" t="str">
        <f aca="false">IF(G45="","",G45)</f>
        <v/>
      </c>
    </row>
    <row r="46" customFormat="false" ht="15" hidden="false" customHeight="false" outlineLevel="0" collapsed="false">
      <c r="A46" s="18" t="s">
        <v>107</v>
      </c>
      <c r="B46" s="18" t="n">
        <v>2</v>
      </c>
      <c r="C46" s="18" t="s">
        <v>311</v>
      </c>
      <c r="D46" s="18" t="str">
        <f aca="false">4_Scorer_A!G46</f>
        <v/>
      </c>
      <c r="E46" s="18" t="str">
        <f aca="false">4_Scorer_B!G46</f>
        <v/>
      </c>
      <c r="F46" s="18" t="str">
        <f aca="false">4_Scorer_C!G46</f>
        <v/>
      </c>
      <c r="G46" s="18" t="str">
        <f aca="false">IF(COUNT(D46:F46)=3,AVERAGE(D46:F46),"")</f>
        <v/>
      </c>
      <c r="H46" s="18" t="str">
        <f aca="false">IF(COUNT(D46:F46)=3,MAX(D46:F46)-MIN(D46:F46),"")</f>
        <v/>
      </c>
      <c r="I46" s="18" t="str">
        <f aca="false">IF(H46="","",IF(H46&gt;1,"RECONCILE","OK"))</f>
        <v/>
      </c>
      <c r="J46" s="18" t="str">
        <f aca="false">IF(G46="","",G46)</f>
        <v/>
      </c>
    </row>
    <row r="47" customFormat="false" ht="15" hidden="false" customHeight="false" outlineLevel="0" collapsed="false">
      <c r="A47" s="18" t="s">
        <v>107</v>
      </c>
      <c r="B47" s="18" t="n">
        <v>2</v>
      </c>
      <c r="C47" s="18" t="s">
        <v>312</v>
      </c>
      <c r="D47" s="18" t="str">
        <f aca="false">4_Scorer_A!G47</f>
        <v/>
      </c>
      <c r="E47" s="18" t="str">
        <f aca="false">4_Scorer_B!G47</f>
        <v/>
      </c>
      <c r="F47" s="18" t="str">
        <f aca="false">4_Scorer_C!G47</f>
        <v/>
      </c>
      <c r="G47" s="18" t="str">
        <f aca="false">IF(COUNT(D47:F47)=3,AVERAGE(D47:F47),"")</f>
        <v/>
      </c>
      <c r="H47" s="18" t="str">
        <f aca="false">IF(COUNT(D47:F47)=3,MAX(D47:F47)-MIN(D47:F47),"")</f>
        <v/>
      </c>
      <c r="I47" s="18" t="str">
        <f aca="false">IF(H47="","",IF(H47&gt;1,"RECONCILE","OK"))</f>
        <v/>
      </c>
      <c r="J47" s="18" t="str">
        <f aca="false">IF(G47="","",G47)</f>
        <v/>
      </c>
    </row>
    <row r="48" customFormat="false" ht="15" hidden="false" customHeight="false" outlineLevel="0" collapsed="false">
      <c r="A48" s="18" t="s">
        <v>107</v>
      </c>
      <c r="B48" s="18" t="n">
        <v>2</v>
      </c>
      <c r="C48" s="18" t="s">
        <v>313</v>
      </c>
      <c r="D48" s="18" t="str">
        <f aca="false">4_Scorer_A!G48</f>
        <v/>
      </c>
      <c r="E48" s="18" t="str">
        <f aca="false">4_Scorer_B!G48</f>
        <v/>
      </c>
      <c r="F48" s="18" t="str">
        <f aca="false">4_Scorer_C!G48</f>
        <v/>
      </c>
      <c r="G48" s="18" t="str">
        <f aca="false">IF(COUNT(D48:F48)=3,AVERAGE(D48:F48),"")</f>
        <v/>
      </c>
      <c r="H48" s="18" t="str">
        <f aca="false">IF(COUNT(D48:F48)=3,MAX(D48:F48)-MIN(D48:F48),"")</f>
        <v/>
      </c>
      <c r="I48" s="18" t="str">
        <f aca="false">IF(H48="","",IF(H48&gt;1,"RECONCILE","OK"))</f>
        <v/>
      </c>
      <c r="J48" s="18" t="str">
        <f aca="false">IF(G48="","",G48)</f>
        <v/>
      </c>
    </row>
    <row r="49" customFormat="false" ht="15" hidden="false" customHeight="false" outlineLevel="0" collapsed="false">
      <c r="A49" s="18" t="s">
        <v>107</v>
      </c>
      <c r="B49" s="18" t="n">
        <v>2</v>
      </c>
      <c r="C49" s="18" t="s">
        <v>314</v>
      </c>
      <c r="D49" s="18" t="str">
        <f aca="false">4_Scorer_A!G49</f>
        <v/>
      </c>
      <c r="E49" s="18" t="str">
        <f aca="false">4_Scorer_B!G49</f>
        <v/>
      </c>
      <c r="F49" s="18" t="str">
        <f aca="false">4_Scorer_C!G49</f>
        <v/>
      </c>
      <c r="G49" s="18" t="str">
        <f aca="false">IF(COUNT(D49:F49)=3,AVERAGE(D49:F49),"")</f>
        <v/>
      </c>
      <c r="H49" s="18" t="str">
        <f aca="false">IF(COUNT(D49:F49)=3,MAX(D49:F49)-MIN(D49:F49),"")</f>
        <v/>
      </c>
      <c r="I49" s="18" t="str">
        <f aca="false">IF(H49="","",IF(H49&gt;1,"RECONCILE","OK"))</f>
        <v/>
      </c>
      <c r="J49" s="18" t="str">
        <f aca="false">IF(G49="","",G49)</f>
        <v/>
      </c>
    </row>
    <row r="50" customFormat="false" ht="15" hidden="false" customHeight="false" outlineLevel="0" collapsed="false">
      <c r="A50" s="18" t="s">
        <v>111</v>
      </c>
      <c r="B50" s="18" t="n">
        <v>2</v>
      </c>
      <c r="C50" s="18" t="s">
        <v>311</v>
      </c>
      <c r="D50" s="18" t="str">
        <f aca="false">4_Scorer_A!G50</f>
        <v/>
      </c>
      <c r="E50" s="18" t="str">
        <f aca="false">4_Scorer_B!G50</f>
        <v/>
      </c>
      <c r="F50" s="18" t="str">
        <f aca="false">4_Scorer_C!G50</f>
        <v/>
      </c>
      <c r="G50" s="18" t="str">
        <f aca="false">IF(COUNT(D50:F50)=3,AVERAGE(D50:F50),"")</f>
        <v/>
      </c>
      <c r="H50" s="18" t="str">
        <f aca="false">IF(COUNT(D50:F50)=3,MAX(D50:F50)-MIN(D50:F50),"")</f>
        <v/>
      </c>
      <c r="I50" s="18" t="str">
        <f aca="false">IF(H50="","",IF(H50&gt;1,"RECONCILE","OK"))</f>
        <v/>
      </c>
      <c r="J50" s="18" t="str">
        <f aca="false">IF(G50="","",G50)</f>
        <v/>
      </c>
    </row>
    <row r="51" customFormat="false" ht="15" hidden="false" customHeight="false" outlineLevel="0" collapsed="false">
      <c r="A51" s="18" t="s">
        <v>111</v>
      </c>
      <c r="B51" s="18" t="n">
        <v>2</v>
      </c>
      <c r="C51" s="18" t="s">
        <v>312</v>
      </c>
      <c r="D51" s="18" t="str">
        <f aca="false">4_Scorer_A!G51</f>
        <v/>
      </c>
      <c r="E51" s="18" t="str">
        <f aca="false">4_Scorer_B!G51</f>
        <v/>
      </c>
      <c r="F51" s="18" t="str">
        <f aca="false">4_Scorer_C!G51</f>
        <v/>
      </c>
      <c r="G51" s="18" t="str">
        <f aca="false">IF(COUNT(D51:F51)=3,AVERAGE(D51:F51),"")</f>
        <v/>
      </c>
      <c r="H51" s="18" t="str">
        <f aca="false">IF(COUNT(D51:F51)=3,MAX(D51:F51)-MIN(D51:F51),"")</f>
        <v/>
      </c>
      <c r="I51" s="18" t="str">
        <f aca="false">IF(H51="","",IF(H51&gt;1,"RECONCILE","OK"))</f>
        <v/>
      </c>
      <c r="J51" s="18" t="str">
        <f aca="false">IF(G51="","",G51)</f>
        <v/>
      </c>
    </row>
    <row r="52" customFormat="false" ht="15" hidden="false" customHeight="false" outlineLevel="0" collapsed="false">
      <c r="A52" s="18" t="s">
        <v>111</v>
      </c>
      <c r="B52" s="18" t="n">
        <v>2</v>
      </c>
      <c r="C52" s="18" t="s">
        <v>313</v>
      </c>
      <c r="D52" s="18" t="str">
        <f aca="false">4_Scorer_A!G52</f>
        <v/>
      </c>
      <c r="E52" s="18" t="str">
        <f aca="false">4_Scorer_B!G52</f>
        <v/>
      </c>
      <c r="F52" s="18" t="str">
        <f aca="false">4_Scorer_C!G52</f>
        <v/>
      </c>
      <c r="G52" s="18" t="str">
        <f aca="false">IF(COUNT(D52:F52)=3,AVERAGE(D52:F52),"")</f>
        <v/>
      </c>
      <c r="H52" s="18" t="str">
        <f aca="false">IF(COUNT(D52:F52)=3,MAX(D52:F52)-MIN(D52:F52),"")</f>
        <v/>
      </c>
      <c r="I52" s="18" t="str">
        <f aca="false">IF(H52="","",IF(H52&gt;1,"RECONCILE","OK"))</f>
        <v/>
      </c>
      <c r="J52" s="18" t="str">
        <f aca="false">IF(G52="","",G52)</f>
        <v/>
      </c>
    </row>
    <row r="53" customFormat="false" ht="15" hidden="false" customHeight="false" outlineLevel="0" collapsed="false">
      <c r="A53" s="18" t="s">
        <v>111</v>
      </c>
      <c r="B53" s="18" t="n">
        <v>2</v>
      </c>
      <c r="C53" s="18" t="s">
        <v>314</v>
      </c>
      <c r="D53" s="18" t="str">
        <f aca="false">4_Scorer_A!G53</f>
        <v/>
      </c>
      <c r="E53" s="18" t="str">
        <f aca="false">4_Scorer_B!G53</f>
        <v/>
      </c>
      <c r="F53" s="18" t="str">
        <f aca="false">4_Scorer_C!G53</f>
        <v/>
      </c>
      <c r="G53" s="18" t="str">
        <f aca="false">IF(COUNT(D53:F53)=3,AVERAGE(D53:F53),"")</f>
        <v/>
      </c>
      <c r="H53" s="18" t="str">
        <f aca="false">IF(COUNT(D53:F53)=3,MAX(D53:F53)-MIN(D53:F53),"")</f>
        <v/>
      </c>
      <c r="I53" s="18" t="str">
        <f aca="false">IF(H53="","",IF(H53&gt;1,"RECONCILE","OK"))</f>
        <v/>
      </c>
      <c r="J53" s="18" t="str">
        <f aca="false">IF(G53="","",G53)</f>
        <v/>
      </c>
    </row>
    <row r="54" customFormat="false" ht="15" hidden="false" customHeight="false" outlineLevel="0" collapsed="false">
      <c r="A54" s="18" t="s">
        <v>115</v>
      </c>
      <c r="B54" s="18" t="n">
        <v>2</v>
      </c>
      <c r="C54" s="18" t="s">
        <v>311</v>
      </c>
      <c r="D54" s="18" t="str">
        <f aca="false">4_Scorer_A!G54</f>
        <v/>
      </c>
      <c r="E54" s="18" t="str">
        <f aca="false">4_Scorer_B!G54</f>
        <v/>
      </c>
      <c r="F54" s="18" t="str">
        <f aca="false">4_Scorer_C!G54</f>
        <v/>
      </c>
      <c r="G54" s="18" t="str">
        <f aca="false">IF(COUNT(D54:F54)=3,AVERAGE(D54:F54),"")</f>
        <v/>
      </c>
      <c r="H54" s="18" t="str">
        <f aca="false">IF(COUNT(D54:F54)=3,MAX(D54:F54)-MIN(D54:F54),"")</f>
        <v/>
      </c>
      <c r="I54" s="18" t="str">
        <f aca="false">IF(H54="","",IF(H54&gt;1,"RECONCILE","OK"))</f>
        <v/>
      </c>
      <c r="J54" s="18" t="str">
        <f aca="false">IF(G54="","",G54)</f>
        <v/>
      </c>
    </row>
    <row r="55" customFormat="false" ht="15" hidden="false" customHeight="false" outlineLevel="0" collapsed="false">
      <c r="A55" s="18" t="s">
        <v>115</v>
      </c>
      <c r="B55" s="18" t="n">
        <v>2</v>
      </c>
      <c r="C55" s="18" t="s">
        <v>312</v>
      </c>
      <c r="D55" s="18" t="str">
        <f aca="false">4_Scorer_A!G55</f>
        <v/>
      </c>
      <c r="E55" s="18" t="str">
        <f aca="false">4_Scorer_B!G55</f>
        <v/>
      </c>
      <c r="F55" s="18" t="str">
        <f aca="false">4_Scorer_C!G55</f>
        <v/>
      </c>
      <c r="G55" s="18" t="str">
        <f aca="false">IF(COUNT(D55:F55)=3,AVERAGE(D55:F55),"")</f>
        <v/>
      </c>
      <c r="H55" s="18" t="str">
        <f aca="false">IF(COUNT(D55:F55)=3,MAX(D55:F55)-MIN(D55:F55),"")</f>
        <v/>
      </c>
      <c r="I55" s="18" t="str">
        <f aca="false">IF(H55="","",IF(H55&gt;1,"RECONCILE","OK"))</f>
        <v/>
      </c>
      <c r="J55" s="18" t="str">
        <f aca="false">IF(G55="","",G55)</f>
        <v/>
      </c>
    </row>
    <row r="56" customFormat="false" ht="15" hidden="false" customHeight="false" outlineLevel="0" collapsed="false">
      <c r="A56" s="18" t="s">
        <v>115</v>
      </c>
      <c r="B56" s="18" t="n">
        <v>2</v>
      </c>
      <c r="C56" s="18" t="s">
        <v>313</v>
      </c>
      <c r="D56" s="18" t="str">
        <f aca="false">4_Scorer_A!G56</f>
        <v/>
      </c>
      <c r="E56" s="18" t="str">
        <f aca="false">4_Scorer_B!G56</f>
        <v/>
      </c>
      <c r="F56" s="18" t="str">
        <f aca="false">4_Scorer_C!G56</f>
        <v/>
      </c>
      <c r="G56" s="18" t="str">
        <f aca="false">IF(COUNT(D56:F56)=3,AVERAGE(D56:F56),"")</f>
        <v/>
      </c>
      <c r="H56" s="18" t="str">
        <f aca="false">IF(COUNT(D56:F56)=3,MAX(D56:F56)-MIN(D56:F56),"")</f>
        <v/>
      </c>
      <c r="I56" s="18" t="str">
        <f aca="false">IF(H56="","",IF(H56&gt;1,"RECONCILE","OK"))</f>
        <v/>
      </c>
      <c r="J56" s="18" t="str">
        <f aca="false">IF(G56="","",G56)</f>
        <v/>
      </c>
    </row>
    <row r="57" customFormat="false" ht="15" hidden="false" customHeight="false" outlineLevel="0" collapsed="false">
      <c r="A57" s="18" t="s">
        <v>115</v>
      </c>
      <c r="B57" s="18" t="n">
        <v>2</v>
      </c>
      <c r="C57" s="18" t="s">
        <v>314</v>
      </c>
      <c r="D57" s="18" t="str">
        <f aca="false">4_Scorer_A!G57</f>
        <v/>
      </c>
      <c r="E57" s="18" t="str">
        <f aca="false">4_Scorer_B!G57</f>
        <v/>
      </c>
      <c r="F57" s="18" t="str">
        <f aca="false">4_Scorer_C!G57</f>
        <v/>
      </c>
      <c r="G57" s="18" t="str">
        <f aca="false">IF(COUNT(D57:F57)=3,AVERAGE(D57:F57),"")</f>
        <v/>
      </c>
      <c r="H57" s="18" t="str">
        <f aca="false">IF(COUNT(D57:F57)=3,MAX(D57:F57)-MIN(D57:F57),"")</f>
        <v/>
      </c>
      <c r="I57" s="18" t="str">
        <f aca="false">IF(H57="","",IF(H57&gt;1,"RECONCILE","OK"))</f>
        <v/>
      </c>
      <c r="J57" s="18" t="str">
        <f aca="false">IF(G57="","",G57)</f>
        <v/>
      </c>
    </row>
    <row r="58" customFormat="false" ht="15" hidden="false" customHeight="false" outlineLevel="0" collapsed="false">
      <c r="A58" s="18" t="s">
        <v>119</v>
      </c>
      <c r="B58" s="18" t="n">
        <v>2</v>
      </c>
      <c r="C58" s="18" t="s">
        <v>311</v>
      </c>
      <c r="D58" s="18" t="str">
        <f aca="false">4_Scorer_A!G58</f>
        <v/>
      </c>
      <c r="E58" s="18" t="str">
        <f aca="false">4_Scorer_B!G58</f>
        <v/>
      </c>
      <c r="F58" s="18" t="str">
        <f aca="false">4_Scorer_C!G58</f>
        <v/>
      </c>
      <c r="G58" s="18" t="str">
        <f aca="false">IF(COUNT(D58:F58)=3,AVERAGE(D58:F58),"")</f>
        <v/>
      </c>
      <c r="H58" s="18" t="str">
        <f aca="false">IF(COUNT(D58:F58)=3,MAX(D58:F58)-MIN(D58:F58),"")</f>
        <v/>
      </c>
      <c r="I58" s="18" t="str">
        <f aca="false">IF(H58="","",IF(H58&gt;1,"RECONCILE","OK"))</f>
        <v/>
      </c>
      <c r="J58" s="18" t="str">
        <f aca="false">IF(G58="","",G58)</f>
        <v/>
      </c>
    </row>
    <row r="59" customFormat="false" ht="15" hidden="false" customHeight="false" outlineLevel="0" collapsed="false">
      <c r="A59" s="18" t="s">
        <v>119</v>
      </c>
      <c r="B59" s="18" t="n">
        <v>2</v>
      </c>
      <c r="C59" s="18" t="s">
        <v>312</v>
      </c>
      <c r="D59" s="18" t="str">
        <f aca="false">4_Scorer_A!G59</f>
        <v/>
      </c>
      <c r="E59" s="18" t="str">
        <f aca="false">4_Scorer_B!G59</f>
        <v/>
      </c>
      <c r="F59" s="18" t="str">
        <f aca="false">4_Scorer_C!G59</f>
        <v/>
      </c>
      <c r="G59" s="18" t="str">
        <f aca="false">IF(COUNT(D59:F59)=3,AVERAGE(D59:F59),"")</f>
        <v/>
      </c>
      <c r="H59" s="18" t="str">
        <f aca="false">IF(COUNT(D59:F59)=3,MAX(D59:F59)-MIN(D59:F59),"")</f>
        <v/>
      </c>
      <c r="I59" s="18" t="str">
        <f aca="false">IF(H59="","",IF(H59&gt;1,"RECONCILE","OK"))</f>
        <v/>
      </c>
      <c r="J59" s="18" t="str">
        <f aca="false">IF(G59="","",G59)</f>
        <v/>
      </c>
    </row>
    <row r="60" customFormat="false" ht="15" hidden="false" customHeight="false" outlineLevel="0" collapsed="false">
      <c r="A60" s="18" t="s">
        <v>119</v>
      </c>
      <c r="B60" s="18" t="n">
        <v>2</v>
      </c>
      <c r="C60" s="18" t="s">
        <v>313</v>
      </c>
      <c r="D60" s="18" t="str">
        <f aca="false">4_Scorer_A!G60</f>
        <v/>
      </c>
      <c r="E60" s="18" t="str">
        <f aca="false">4_Scorer_B!G60</f>
        <v/>
      </c>
      <c r="F60" s="18" t="str">
        <f aca="false">4_Scorer_C!G60</f>
        <v/>
      </c>
      <c r="G60" s="18" t="str">
        <f aca="false">IF(COUNT(D60:F60)=3,AVERAGE(D60:F60),"")</f>
        <v/>
      </c>
      <c r="H60" s="18" t="str">
        <f aca="false">IF(COUNT(D60:F60)=3,MAX(D60:F60)-MIN(D60:F60),"")</f>
        <v/>
      </c>
      <c r="I60" s="18" t="str">
        <f aca="false">IF(H60="","",IF(H60&gt;1,"RECONCILE","OK"))</f>
        <v/>
      </c>
      <c r="J60" s="18" t="str">
        <f aca="false">IF(G60="","",G60)</f>
        <v/>
      </c>
    </row>
    <row r="61" customFormat="false" ht="15" hidden="false" customHeight="false" outlineLevel="0" collapsed="false">
      <c r="A61" s="18" t="s">
        <v>119</v>
      </c>
      <c r="B61" s="18" t="n">
        <v>2</v>
      </c>
      <c r="C61" s="18" t="s">
        <v>314</v>
      </c>
      <c r="D61" s="18" t="str">
        <f aca="false">4_Scorer_A!G61</f>
        <v/>
      </c>
      <c r="E61" s="18" t="str">
        <f aca="false">4_Scorer_B!G61</f>
        <v/>
      </c>
      <c r="F61" s="18" t="str">
        <f aca="false">4_Scorer_C!G61</f>
        <v/>
      </c>
      <c r="G61" s="18" t="str">
        <f aca="false">IF(COUNT(D61:F61)=3,AVERAGE(D61:F61),"")</f>
        <v/>
      </c>
      <c r="H61" s="18" t="str">
        <f aca="false">IF(COUNT(D61:F61)=3,MAX(D61:F61)-MIN(D61:F61),"")</f>
        <v/>
      </c>
      <c r="I61" s="18" t="str">
        <f aca="false">IF(H61="","",IF(H61&gt;1,"RECONCILE","OK"))</f>
        <v/>
      </c>
      <c r="J61" s="18" t="str">
        <f aca="false">IF(G61="","",G61)</f>
        <v/>
      </c>
    </row>
    <row r="62" customFormat="false" ht="15" hidden="false" customHeight="false" outlineLevel="0" collapsed="false">
      <c r="A62" s="18" t="s">
        <v>123</v>
      </c>
      <c r="B62" s="18" t="n">
        <v>2</v>
      </c>
      <c r="C62" s="18" t="s">
        <v>311</v>
      </c>
      <c r="D62" s="18" t="str">
        <f aca="false">4_Scorer_A!G62</f>
        <v/>
      </c>
      <c r="E62" s="18" t="str">
        <f aca="false">4_Scorer_B!G62</f>
        <v/>
      </c>
      <c r="F62" s="18" t="str">
        <f aca="false">4_Scorer_C!G62</f>
        <v/>
      </c>
      <c r="G62" s="18" t="str">
        <f aca="false">IF(COUNT(D62:F62)=3,AVERAGE(D62:F62),"")</f>
        <v/>
      </c>
      <c r="H62" s="18" t="str">
        <f aca="false">IF(COUNT(D62:F62)=3,MAX(D62:F62)-MIN(D62:F62),"")</f>
        <v/>
      </c>
      <c r="I62" s="18" t="str">
        <f aca="false">IF(H62="","",IF(H62&gt;1,"RECONCILE","OK"))</f>
        <v/>
      </c>
      <c r="J62" s="18" t="str">
        <f aca="false">IF(G62="","",G62)</f>
        <v/>
      </c>
    </row>
    <row r="63" customFormat="false" ht="15" hidden="false" customHeight="false" outlineLevel="0" collapsed="false">
      <c r="A63" s="18" t="s">
        <v>123</v>
      </c>
      <c r="B63" s="18" t="n">
        <v>2</v>
      </c>
      <c r="C63" s="18" t="s">
        <v>312</v>
      </c>
      <c r="D63" s="18" t="str">
        <f aca="false">4_Scorer_A!G63</f>
        <v/>
      </c>
      <c r="E63" s="18" t="str">
        <f aca="false">4_Scorer_B!G63</f>
        <v/>
      </c>
      <c r="F63" s="18" t="str">
        <f aca="false">4_Scorer_C!G63</f>
        <v/>
      </c>
      <c r="G63" s="18" t="str">
        <f aca="false">IF(COUNT(D63:F63)=3,AVERAGE(D63:F63),"")</f>
        <v/>
      </c>
      <c r="H63" s="18" t="str">
        <f aca="false">IF(COUNT(D63:F63)=3,MAX(D63:F63)-MIN(D63:F63),"")</f>
        <v/>
      </c>
      <c r="I63" s="18" t="str">
        <f aca="false">IF(H63="","",IF(H63&gt;1,"RECONCILE","OK"))</f>
        <v/>
      </c>
      <c r="J63" s="18" t="str">
        <f aca="false">IF(G63="","",G63)</f>
        <v/>
      </c>
    </row>
    <row r="64" customFormat="false" ht="15" hidden="false" customHeight="false" outlineLevel="0" collapsed="false">
      <c r="A64" s="18" t="s">
        <v>123</v>
      </c>
      <c r="B64" s="18" t="n">
        <v>2</v>
      </c>
      <c r="C64" s="18" t="s">
        <v>313</v>
      </c>
      <c r="D64" s="18" t="str">
        <f aca="false">4_Scorer_A!G64</f>
        <v/>
      </c>
      <c r="E64" s="18" t="str">
        <f aca="false">4_Scorer_B!G64</f>
        <v/>
      </c>
      <c r="F64" s="18" t="str">
        <f aca="false">4_Scorer_C!G64</f>
        <v/>
      </c>
      <c r="G64" s="18" t="str">
        <f aca="false">IF(COUNT(D64:F64)=3,AVERAGE(D64:F64),"")</f>
        <v/>
      </c>
      <c r="H64" s="18" t="str">
        <f aca="false">IF(COUNT(D64:F64)=3,MAX(D64:F64)-MIN(D64:F64),"")</f>
        <v/>
      </c>
      <c r="I64" s="18" t="str">
        <f aca="false">IF(H64="","",IF(H64&gt;1,"RECONCILE","OK"))</f>
        <v/>
      </c>
      <c r="J64" s="18" t="str">
        <f aca="false">IF(G64="","",G64)</f>
        <v/>
      </c>
    </row>
    <row r="65" customFormat="false" ht="15" hidden="false" customHeight="false" outlineLevel="0" collapsed="false">
      <c r="A65" s="18" t="s">
        <v>123</v>
      </c>
      <c r="B65" s="18" t="n">
        <v>2</v>
      </c>
      <c r="C65" s="18" t="s">
        <v>314</v>
      </c>
      <c r="D65" s="18" t="str">
        <f aca="false">4_Scorer_A!G65</f>
        <v/>
      </c>
      <c r="E65" s="18" t="str">
        <f aca="false">4_Scorer_B!G65</f>
        <v/>
      </c>
      <c r="F65" s="18" t="str">
        <f aca="false">4_Scorer_C!G65</f>
        <v/>
      </c>
      <c r="G65" s="18" t="str">
        <f aca="false">IF(COUNT(D65:F65)=3,AVERAGE(D65:F65),"")</f>
        <v/>
      </c>
      <c r="H65" s="18" t="str">
        <f aca="false">IF(COUNT(D65:F65)=3,MAX(D65:F65)-MIN(D65:F65),"")</f>
        <v/>
      </c>
      <c r="I65" s="18" t="str">
        <f aca="false">IF(H65="","",IF(H65&gt;1,"RECONCILE","OK"))</f>
        <v/>
      </c>
      <c r="J65" s="18" t="str">
        <f aca="false">IF(G65="","",G65)</f>
        <v/>
      </c>
    </row>
    <row r="66" customFormat="false" ht="15" hidden="false" customHeight="false" outlineLevel="0" collapsed="false">
      <c r="A66" s="18" t="s">
        <v>127</v>
      </c>
      <c r="B66" s="18" t="n">
        <v>2</v>
      </c>
      <c r="C66" s="18" t="s">
        <v>311</v>
      </c>
      <c r="D66" s="18" t="str">
        <f aca="false">4_Scorer_A!G66</f>
        <v/>
      </c>
      <c r="E66" s="18" t="str">
        <f aca="false">4_Scorer_B!G66</f>
        <v/>
      </c>
      <c r="F66" s="18" t="str">
        <f aca="false">4_Scorer_C!G66</f>
        <v/>
      </c>
      <c r="G66" s="18" t="str">
        <f aca="false">IF(COUNT(D66:F66)=3,AVERAGE(D66:F66),"")</f>
        <v/>
      </c>
      <c r="H66" s="18" t="str">
        <f aca="false">IF(COUNT(D66:F66)=3,MAX(D66:F66)-MIN(D66:F66),"")</f>
        <v/>
      </c>
      <c r="I66" s="18" t="str">
        <f aca="false">IF(H66="","",IF(H66&gt;1,"RECONCILE","OK"))</f>
        <v/>
      </c>
      <c r="J66" s="18" t="str">
        <f aca="false">IF(G66="","",G66)</f>
        <v/>
      </c>
    </row>
    <row r="67" customFormat="false" ht="15" hidden="false" customHeight="false" outlineLevel="0" collapsed="false">
      <c r="A67" s="18" t="s">
        <v>127</v>
      </c>
      <c r="B67" s="18" t="n">
        <v>2</v>
      </c>
      <c r="C67" s="18" t="s">
        <v>312</v>
      </c>
      <c r="D67" s="18" t="str">
        <f aca="false">4_Scorer_A!G67</f>
        <v/>
      </c>
      <c r="E67" s="18" t="str">
        <f aca="false">4_Scorer_B!G67</f>
        <v/>
      </c>
      <c r="F67" s="18" t="str">
        <f aca="false">4_Scorer_C!G67</f>
        <v/>
      </c>
      <c r="G67" s="18" t="str">
        <f aca="false">IF(COUNT(D67:F67)=3,AVERAGE(D67:F67),"")</f>
        <v/>
      </c>
      <c r="H67" s="18" t="str">
        <f aca="false">IF(COUNT(D67:F67)=3,MAX(D67:F67)-MIN(D67:F67),"")</f>
        <v/>
      </c>
      <c r="I67" s="18" t="str">
        <f aca="false">IF(H67="","",IF(H67&gt;1,"RECONCILE","OK"))</f>
        <v/>
      </c>
      <c r="J67" s="18" t="str">
        <f aca="false">IF(G67="","",G67)</f>
        <v/>
      </c>
    </row>
    <row r="68" customFormat="false" ht="15" hidden="false" customHeight="false" outlineLevel="0" collapsed="false">
      <c r="A68" s="18" t="s">
        <v>127</v>
      </c>
      <c r="B68" s="18" t="n">
        <v>2</v>
      </c>
      <c r="C68" s="18" t="s">
        <v>313</v>
      </c>
      <c r="D68" s="18" t="str">
        <f aca="false">4_Scorer_A!G68</f>
        <v/>
      </c>
      <c r="E68" s="18" t="str">
        <f aca="false">4_Scorer_B!G68</f>
        <v/>
      </c>
      <c r="F68" s="18" t="str">
        <f aca="false">4_Scorer_C!G68</f>
        <v/>
      </c>
      <c r="G68" s="18" t="str">
        <f aca="false">IF(COUNT(D68:F68)=3,AVERAGE(D68:F68),"")</f>
        <v/>
      </c>
      <c r="H68" s="18" t="str">
        <f aca="false">IF(COUNT(D68:F68)=3,MAX(D68:F68)-MIN(D68:F68),"")</f>
        <v/>
      </c>
      <c r="I68" s="18" t="str">
        <f aca="false">IF(H68="","",IF(H68&gt;1,"RECONCILE","OK"))</f>
        <v/>
      </c>
      <c r="J68" s="18" t="str">
        <f aca="false">IF(G68="","",G68)</f>
        <v/>
      </c>
    </row>
    <row r="69" customFormat="false" ht="15" hidden="false" customHeight="false" outlineLevel="0" collapsed="false">
      <c r="A69" s="18" t="s">
        <v>127</v>
      </c>
      <c r="B69" s="18" t="n">
        <v>2</v>
      </c>
      <c r="C69" s="18" t="s">
        <v>314</v>
      </c>
      <c r="D69" s="18" t="str">
        <f aca="false">4_Scorer_A!G69</f>
        <v/>
      </c>
      <c r="E69" s="18" t="str">
        <f aca="false">4_Scorer_B!G69</f>
        <v/>
      </c>
      <c r="F69" s="18" t="str">
        <f aca="false">4_Scorer_C!G69</f>
        <v/>
      </c>
      <c r="G69" s="18" t="str">
        <f aca="false">IF(COUNT(D69:F69)=3,AVERAGE(D69:F69),"")</f>
        <v/>
      </c>
      <c r="H69" s="18" t="str">
        <f aca="false">IF(COUNT(D69:F69)=3,MAX(D69:F69)-MIN(D69:F69),"")</f>
        <v/>
      </c>
      <c r="I69" s="18" t="str">
        <f aca="false">IF(H69="","",IF(H69&gt;1,"RECONCILE","OK"))</f>
        <v/>
      </c>
      <c r="J69" s="18" t="str">
        <f aca="false">IF(G69="","",G69)</f>
        <v/>
      </c>
    </row>
    <row r="70" customFormat="false" ht="15" hidden="false" customHeight="false" outlineLevel="0" collapsed="false">
      <c r="A70" s="18" t="s">
        <v>131</v>
      </c>
      <c r="B70" s="18" t="n">
        <v>2</v>
      </c>
      <c r="C70" s="18" t="s">
        <v>311</v>
      </c>
      <c r="D70" s="18" t="str">
        <f aca="false">4_Scorer_A!G70</f>
        <v/>
      </c>
      <c r="E70" s="18" t="str">
        <f aca="false">4_Scorer_B!G70</f>
        <v/>
      </c>
      <c r="F70" s="18" t="str">
        <f aca="false">4_Scorer_C!G70</f>
        <v/>
      </c>
      <c r="G70" s="18" t="str">
        <f aca="false">IF(COUNT(D70:F70)=3,AVERAGE(D70:F70),"")</f>
        <v/>
      </c>
      <c r="H70" s="18" t="str">
        <f aca="false">IF(COUNT(D70:F70)=3,MAX(D70:F70)-MIN(D70:F70),"")</f>
        <v/>
      </c>
      <c r="I70" s="18" t="str">
        <f aca="false">IF(H70="","",IF(H70&gt;1,"RECONCILE","OK"))</f>
        <v/>
      </c>
      <c r="J70" s="18" t="str">
        <f aca="false">IF(G70="","",G70)</f>
        <v/>
      </c>
    </row>
    <row r="71" customFormat="false" ht="15" hidden="false" customHeight="false" outlineLevel="0" collapsed="false">
      <c r="A71" s="18" t="s">
        <v>131</v>
      </c>
      <c r="B71" s="18" t="n">
        <v>2</v>
      </c>
      <c r="C71" s="18" t="s">
        <v>312</v>
      </c>
      <c r="D71" s="18" t="str">
        <f aca="false">4_Scorer_A!G71</f>
        <v/>
      </c>
      <c r="E71" s="18" t="str">
        <f aca="false">4_Scorer_B!G71</f>
        <v/>
      </c>
      <c r="F71" s="18" t="str">
        <f aca="false">4_Scorer_C!G71</f>
        <v/>
      </c>
      <c r="G71" s="18" t="str">
        <f aca="false">IF(COUNT(D71:F71)=3,AVERAGE(D71:F71),"")</f>
        <v/>
      </c>
      <c r="H71" s="18" t="str">
        <f aca="false">IF(COUNT(D71:F71)=3,MAX(D71:F71)-MIN(D71:F71),"")</f>
        <v/>
      </c>
      <c r="I71" s="18" t="str">
        <f aca="false">IF(H71="","",IF(H71&gt;1,"RECONCILE","OK"))</f>
        <v/>
      </c>
      <c r="J71" s="18" t="str">
        <f aca="false">IF(G71="","",G71)</f>
        <v/>
      </c>
    </row>
    <row r="72" customFormat="false" ht="15" hidden="false" customHeight="false" outlineLevel="0" collapsed="false">
      <c r="A72" s="18" t="s">
        <v>131</v>
      </c>
      <c r="B72" s="18" t="n">
        <v>2</v>
      </c>
      <c r="C72" s="18" t="s">
        <v>313</v>
      </c>
      <c r="D72" s="18" t="str">
        <f aca="false">4_Scorer_A!G72</f>
        <v/>
      </c>
      <c r="E72" s="18" t="str">
        <f aca="false">4_Scorer_B!G72</f>
        <v/>
      </c>
      <c r="F72" s="18" t="str">
        <f aca="false">4_Scorer_C!G72</f>
        <v/>
      </c>
      <c r="G72" s="18" t="str">
        <f aca="false">IF(COUNT(D72:F72)=3,AVERAGE(D72:F72),"")</f>
        <v/>
      </c>
      <c r="H72" s="18" t="str">
        <f aca="false">IF(COUNT(D72:F72)=3,MAX(D72:F72)-MIN(D72:F72),"")</f>
        <v/>
      </c>
      <c r="I72" s="18" t="str">
        <f aca="false">IF(H72="","",IF(H72&gt;1,"RECONCILE","OK"))</f>
        <v/>
      </c>
      <c r="J72" s="18" t="str">
        <f aca="false">IF(G72="","",G72)</f>
        <v/>
      </c>
    </row>
    <row r="73" customFormat="false" ht="15" hidden="false" customHeight="false" outlineLevel="0" collapsed="false">
      <c r="A73" s="18" t="s">
        <v>131</v>
      </c>
      <c r="B73" s="18" t="n">
        <v>2</v>
      </c>
      <c r="C73" s="18" t="s">
        <v>314</v>
      </c>
      <c r="D73" s="18" t="str">
        <f aca="false">4_Scorer_A!G73</f>
        <v/>
      </c>
      <c r="E73" s="18" t="str">
        <f aca="false">4_Scorer_B!G73</f>
        <v/>
      </c>
      <c r="F73" s="18" t="str">
        <f aca="false">4_Scorer_C!G73</f>
        <v/>
      </c>
      <c r="G73" s="18" t="str">
        <f aca="false">IF(COUNT(D73:F73)=3,AVERAGE(D73:F73),"")</f>
        <v/>
      </c>
      <c r="H73" s="18" t="str">
        <f aca="false">IF(COUNT(D73:F73)=3,MAX(D73:F73)-MIN(D73:F73),"")</f>
        <v/>
      </c>
      <c r="I73" s="18" t="str">
        <f aca="false">IF(H73="","",IF(H73&gt;1,"RECONCILE","OK"))</f>
        <v/>
      </c>
      <c r="J73" s="18" t="str">
        <f aca="false">IF(G73="","",G73)</f>
        <v/>
      </c>
    </row>
    <row r="74" customFormat="false" ht="15" hidden="false" customHeight="false" outlineLevel="0" collapsed="false">
      <c r="A74" s="18" t="s">
        <v>135</v>
      </c>
      <c r="B74" s="18" t="n">
        <v>2</v>
      </c>
      <c r="C74" s="18" t="s">
        <v>311</v>
      </c>
      <c r="D74" s="18" t="str">
        <f aca="false">4_Scorer_A!G74</f>
        <v/>
      </c>
      <c r="E74" s="18" t="str">
        <f aca="false">4_Scorer_B!G74</f>
        <v/>
      </c>
      <c r="F74" s="18" t="str">
        <f aca="false">4_Scorer_C!G74</f>
        <v/>
      </c>
      <c r="G74" s="18" t="str">
        <f aca="false">IF(COUNT(D74:F74)=3,AVERAGE(D74:F74),"")</f>
        <v/>
      </c>
      <c r="H74" s="18" t="str">
        <f aca="false">IF(COUNT(D74:F74)=3,MAX(D74:F74)-MIN(D74:F74),"")</f>
        <v/>
      </c>
      <c r="I74" s="18" t="str">
        <f aca="false">IF(H74="","",IF(H74&gt;1,"RECONCILE","OK"))</f>
        <v/>
      </c>
      <c r="J74" s="18" t="str">
        <f aca="false">IF(G74="","",G74)</f>
        <v/>
      </c>
    </row>
    <row r="75" customFormat="false" ht="15" hidden="false" customHeight="false" outlineLevel="0" collapsed="false">
      <c r="A75" s="18" t="s">
        <v>135</v>
      </c>
      <c r="B75" s="18" t="n">
        <v>2</v>
      </c>
      <c r="C75" s="18" t="s">
        <v>312</v>
      </c>
      <c r="D75" s="18" t="str">
        <f aca="false">4_Scorer_A!G75</f>
        <v/>
      </c>
      <c r="E75" s="18" t="str">
        <f aca="false">4_Scorer_B!G75</f>
        <v/>
      </c>
      <c r="F75" s="18" t="str">
        <f aca="false">4_Scorer_C!G75</f>
        <v/>
      </c>
      <c r="G75" s="18" t="str">
        <f aca="false">IF(COUNT(D75:F75)=3,AVERAGE(D75:F75),"")</f>
        <v/>
      </c>
      <c r="H75" s="18" t="str">
        <f aca="false">IF(COUNT(D75:F75)=3,MAX(D75:F75)-MIN(D75:F75),"")</f>
        <v/>
      </c>
      <c r="I75" s="18" t="str">
        <f aca="false">IF(H75="","",IF(H75&gt;1,"RECONCILE","OK"))</f>
        <v/>
      </c>
      <c r="J75" s="18" t="str">
        <f aca="false">IF(G75="","",G75)</f>
        <v/>
      </c>
    </row>
    <row r="76" customFormat="false" ht="15" hidden="false" customHeight="false" outlineLevel="0" collapsed="false">
      <c r="A76" s="18" t="s">
        <v>135</v>
      </c>
      <c r="B76" s="18" t="n">
        <v>2</v>
      </c>
      <c r="C76" s="18" t="s">
        <v>313</v>
      </c>
      <c r="D76" s="18" t="str">
        <f aca="false">4_Scorer_A!G76</f>
        <v/>
      </c>
      <c r="E76" s="18" t="str">
        <f aca="false">4_Scorer_B!G76</f>
        <v/>
      </c>
      <c r="F76" s="18" t="str">
        <f aca="false">4_Scorer_C!G76</f>
        <v/>
      </c>
      <c r="G76" s="18" t="str">
        <f aca="false">IF(COUNT(D76:F76)=3,AVERAGE(D76:F76),"")</f>
        <v/>
      </c>
      <c r="H76" s="18" t="str">
        <f aca="false">IF(COUNT(D76:F76)=3,MAX(D76:F76)-MIN(D76:F76),"")</f>
        <v/>
      </c>
      <c r="I76" s="18" t="str">
        <f aca="false">IF(H76="","",IF(H76&gt;1,"RECONCILE","OK"))</f>
        <v/>
      </c>
      <c r="J76" s="18" t="str">
        <f aca="false">IF(G76="","",G76)</f>
        <v/>
      </c>
    </row>
    <row r="77" customFormat="false" ht="15" hidden="false" customHeight="false" outlineLevel="0" collapsed="false">
      <c r="A77" s="18" t="s">
        <v>135</v>
      </c>
      <c r="B77" s="18" t="n">
        <v>2</v>
      </c>
      <c r="C77" s="18" t="s">
        <v>314</v>
      </c>
      <c r="D77" s="18" t="str">
        <f aca="false">4_Scorer_A!G77</f>
        <v/>
      </c>
      <c r="E77" s="18" t="str">
        <f aca="false">4_Scorer_B!G77</f>
        <v/>
      </c>
      <c r="F77" s="18" t="str">
        <f aca="false">4_Scorer_C!G77</f>
        <v/>
      </c>
      <c r="G77" s="18" t="str">
        <f aca="false">IF(COUNT(D77:F77)=3,AVERAGE(D77:F77),"")</f>
        <v/>
      </c>
      <c r="H77" s="18" t="str">
        <f aca="false">IF(COUNT(D77:F77)=3,MAX(D77:F77)-MIN(D77:F77),"")</f>
        <v/>
      </c>
      <c r="I77" s="18" t="str">
        <f aca="false">IF(H77="","",IF(H77&gt;1,"RECONCILE","OK"))</f>
        <v/>
      </c>
      <c r="J77" s="18" t="str">
        <f aca="false">IF(G77="","",G77)</f>
        <v/>
      </c>
    </row>
    <row r="78" customFormat="false" ht="15" hidden="false" customHeight="false" outlineLevel="0" collapsed="false">
      <c r="A78" s="18" t="s">
        <v>139</v>
      </c>
      <c r="B78" s="18" t="n">
        <v>2</v>
      </c>
      <c r="C78" s="18" t="s">
        <v>311</v>
      </c>
      <c r="D78" s="18" t="str">
        <f aca="false">4_Scorer_A!G78</f>
        <v/>
      </c>
      <c r="E78" s="18" t="str">
        <f aca="false">4_Scorer_B!G78</f>
        <v/>
      </c>
      <c r="F78" s="18" t="str">
        <f aca="false">4_Scorer_C!G78</f>
        <v/>
      </c>
      <c r="G78" s="18" t="str">
        <f aca="false">IF(COUNT(D78:F78)=3,AVERAGE(D78:F78),"")</f>
        <v/>
      </c>
      <c r="H78" s="18" t="str">
        <f aca="false">IF(COUNT(D78:F78)=3,MAX(D78:F78)-MIN(D78:F78),"")</f>
        <v/>
      </c>
      <c r="I78" s="18" t="str">
        <f aca="false">IF(H78="","",IF(H78&gt;1,"RECONCILE","OK"))</f>
        <v/>
      </c>
      <c r="J78" s="18" t="str">
        <f aca="false">IF(G78="","",G78)</f>
        <v/>
      </c>
    </row>
    <row r="79" customFormat="false" ht="15" hidden="false" customHeight="false" outlineLevel="0" collapsed="false">
      <c r="A79" s="18" t="s">
        <v>139</v>
      </c>
      <c r="B79" s="18" t="n">
        <v>2</v>
      </c>
      <c r="C79" s="18" t="s">
        <v>312</v>
      </c>
      <c r="D79" s="18" t="str">
        <f aca="false">4_Scorer_A!G79</f>
        <v/>
      </c>
      <c r="E79" s="18" t="str">
        <f aca="false">4_Scorer_B!G79</f>
        <v/>
      </c>
      <c r="F79" s="18" t="str">
        <f aca="false">4_Scorer_C!G79</f>
        <v/>
      </c>
      <c r="G79" s="18" t="str">
        <f aca="false">IF(COUNT(D79:F79)=3,AVERAGE(D79:F79),"")</f>
        <v/>
      </c>
      <c r="H79" s="18" t="str">
        <f aca="false">IF(COUNT(D79:F79)=3,MAX(D79:F79)-MIN(D79:F79),"")</f>
        <v/>
      </c>
      <c r="I79" s="18" t="str">
        <f aca="false">IF(H79="","",IF(H79&gt;1,"RECONCILE","OK"))</f>
        <v/>
      </c>
      <c r="J79" s="18" t="str">
        <f aca="false">IF(G79="","",G79)</f>
        <v/>
      </c>
    </row>
    <row r="80" customFormat="false" ht="15" hidden="false" customHeight="false" outlineLevel="0" collapsed="false">
      <c r="A80" s="18" t="s">
        <v>139</v>
      </c>
      <c r="B80" s="18" t="n">
        <v>2</v>
      </c>
      <c r="C80" s="18" t="s">
        <v>313</v>
      </c>
      <c r="D80" s="18" t="str">
        <f aca="false">4_Scorer_A!G80</f>
        <v/>
      </c>
      <c r="E80" s="18" t="str">
        <f aca="false">4_Scorer_B!G80</f>
        <v/>
      </c>
      <c r="F80" s="18" t="str">
        <f aca="false">4_Scorer_C!G80</f>
        <v/>
      </c>
      <c r="G80" s="18" t="str">
        <f aca="false">IF(COUNT(D80:F80)=3,AVERAGE(D80:F80),"")</f>
        <v/>
      </c>
      <c r="H80" s="18" t="str">
        <f aca="false">IF(COUNT(D80:F80)=3,MAX(D80:F80)-MIN(D80:F80),"")</f>
        <v/>
      </c>
      <c r="I80" s="18" t="str">
        <f aca="false">IF(H80="","",IF(H80&gt;1,"RECONCILE","OK"))</f>
        <v/>
      </c>
      <c r="J80" s="18" t="str">
        <f aca="false">IF(G80="","",G80)</f>
        <v/>
      </c>
    </row>
    <row r="81" customFormat="false" ht="15" hidden="false" customHeight="false" outlineLevel="0" collapsed="false">
      <c r="A81" s="18" t="s">
        <v>139</v>
      </c>
      <c r="B81" s="18" t="n">
        <v>2</v>
      </c>
      <c r="C81" s="18" t="s">
        <v>314</v>
      </c>
      <c r="D81" s="18" t="str">
        <f aca="false">4_Scorer_A!G81</f>
        <v/>
      </c>
      <c r="E81" s="18" t="str">
        <f aca="false">4_Scorer_B!G81</f>
        <v/>
      </c>
      <c r="F81" s="18" t="str">
        <f aca="false">4_Scorer_C!G81</f>
        <v/>
      </c>
      <c r="G81" s="18" t="str">
        <f aca="false">IF(COUNT(D81:F81)=3,AVERAGE(D81:F81),"")</f>
        <v/>
      </c>
      <c r="H81" s="18" t="str">
        <f aca="false">IF(COUNT(D81:F81)=3,MAX(D81:F81)-MIN(D81:F81),"")</f>
        <v/>
      </c>
      <c r="I81" s="18" t="str">
        <f aca="false">IF(H81="","",IF(H81&gt;1,"RECONCILE","OK"))</f>
        <v/>
      </c>
      <c r="J81" s="18" t="str">
        <f aca="false">IF(G81="","",G81)</f>
        <v/>
      </c>
    </row>
    <row r="82" customFormat="false" ht="15" hidden="false" customHeight="false" outlineLevel="0" collapsed="false">
      <c r="A82" s="18" t="s">
        <v>143</v>
      </c>
      <c r="B82" s="18" t="n">
        <v>3</v>
      </c>
      <c r="C82" s="18" t="s">
        <v>311</v>
      </c>
      <c r="D82" s="18" t="str">
        <f aca="false">4_Scorer_A!G82</f>
        <v/>
      </c>
      <c r="E82" s="18" t="str">
        <f aca="false">4_Scorer_B!G82</f>
        <v/>
      </c>
      <c r="F82" s="18" t="str">
        <f aca="false">4_Scorer_C!G82</f>
        <v/>
      </c>
      <c r="G82" s="18" t="str">
        <f aca="false">IF(COUNT(D82:F82)=3,AVERAGE(D82:F82),"")</f>
        <v/>
      </c>
      <c r="H82" s="18" t="str">
        <f aca="false">IF(COUNT(D82:F82)=3,MAX(D82:F82)-MIN(D82:F82),"")</f>
        <v/>
      </c>
      <c r="I82" s="18" t="str">
        <f aca="false">IF(H82="","",IF(H82&gt;1,"RECONCILE","OK"))</f>
        <v/>
      </c>
      <c r="J82" s="18" t="str">
        <f aca="false">IF(G82="","",G82)</f>
        <v/>
      </c>
    </row>
    <row r="83" customFormat="false" ht="15" hidden="false" customHeight="false" outlineLevel="0" collapsed="false">
      <c r="A83" s="18" t="s">
        <v>143</v>
      </c>
      <c r="B83" s="18" t="n">
        <v>3</v>
      </c>
      <c r="C83" s="18" t="s">
        <v>312</v>
      </c>
      <c r="D83" s="18" t="str">
        <f aca="false">4_Scorer_A!G83</f>
        <v/>
      </c>
      <c r="E83" s="18" t="str">
        <f aca="false">4_Scorer_B!G83</f>
        <v/>
      </c>
      <c r="F83" s="18" t="str">
        <f aca="false">4_Scorer_C!G83</f>
        <v/>
      </c>
      <c r="G83" s="18" t="str">
        <f aca="false">IF(COUNT(D83:F83)=3,AVERAGE(D83:F83),"")</f>
        <v/>
      </c>
      <c r="H83" s="18" t="str">
        <f aca="false">IF(COUNT(D83:F83)=3,MAX(D83:F83)-MIN(D83:F83),"")</f>
        <v/>
      </c>
      <c r="I83" s="18" t="str">
        <f aca="false">IF(H83="","",IF(H83&gt;1,"RECONCILE","OK"))</f>
        <v/>
      </c>
      <c r="J83" s="18" t="str">
        <f aca="false">IF(G83="","",G83)</f>
        <v/>
      </c>
    </row>
    <row r="84" customFormat="false" ht="15" hidden="false" customHeight="false" outlineLevel="0" collapsed="false">
      <c r="A84" s="18" t="s">
        <v>143</v>
      </c>
      <c r="B84" s="18" t="n">
        <v>3</v>
      </c>
      <c r="C84" s="18" t="s">
        <v>313</v>
      </c>
      <c r="D84" s="18" t="str">
        <f aca="false">4_Scorer_A!G84</f>
        <v/>
      </c>
      <c r="E84" s="18" t="str">
        <f aca="false">4_Scorer_B!G84</f>
        <v/>
      </c>
      <c r="F84" s="18" t="str">
        <f aca="false">4_Scorer_C!G84</f>
        <v/>
      </c>
      <c r="G84" s="18" t="str">
        <f aca="false">IF(COUNT(D84:F84)=3,AVERAGE(D84:F84),"")</f>
        <v/>
      </c>
      <c r="H84" s="18" t="str">
        <f aca="false">IF(COUNT(D84:F84)=3,MAX(D84:F84)-MIN(D84:F84),"")</f>
        <v/>
      </c>
      <c r="I84" s="18" t="str">
        <f aca="false">IF(H84="","",IF(H84&gt;1,"RECONCILE","OK"))</f>
        <v/>
      </c>
      <c r="J84" s="18" t="str">
        <f aca="false">IF(G84="","",G84)</f>
        <v/>
      </c>
    </row>
    <row r="85" customFormat="false" ht="15" hidden="false" customHeight="false" outlineLevel="0" collapsed="false">
      <c r="A85" s="18" t="s">
        <v>143</v>
      </c>
      <c r="B85" s="18" t="n">
        <v>3</v>
      </c>
      <c r="C85" s="18" t="s">
        <v>314</v>
      </c>
      <c r="D85" s="18" t="str">
        <f aca="false">4_Scorer_A!G85</f>
        <v/>
      </c>
      <c r="E85" s="18" t="str">
        <f aca="false">4_Scorer_B!G85</f>
        <v/>
      </c>
      <c r="F85" s="18" t="str">
        <f aca="false">4_Scorer_C!G85</f>
        <v/>
      </c>
      <c r="G85" s="18" t="str">
        <f aca="false">IF(COUNT(D85:F85)=3,AVERAGE(D85:F85),"")</f>
        <v/>
      </c>
      <c r="H85" s="18" t="str">
        <f aca="false">IF(COUNT(D85:F85)=3,MAX(D85:F85)-MIN(D85:F85),"")</f>
        <v/>
      </c>
      <c r="I85" s="18" t="str">
        <f aca="false">IF(H85="","",IF(H85&gt;1,"RECONCILE","OK"))</f>
        <v/>
      </c>
      <c r="J85" s="18" t="str">
        <f aca="false">IF(G85="","",G85)</f>
        <v/>
      </c>
    </row>
    <row r="86" customFormat="false" ht="15" hidden="false" customHeight="false" outlineLevel="0" collapsed="false">
      <c r="A86" s="18" t="s">
        <v>148</v>
      </c>
      <c r="B86" s="18" t="n">
        <v>3</v>
      </c>
      <c r="C86" s="18" t="s">
        <v>311</v>
      </c>
      <c r="D86" s="18" t="str">
        <f aca="false">4_Scorer_A!G86</f>
        <v/>
      </c>
      <c r="E86" s="18" t="str">
        <f aca="false">4_Scorer_B!G86</f>
        <v/>
      </c>
      <c r="F86" s="18" t="str">
        <f aca="false">4_Scorer_C!G86</f>
        <v/>
      </c>
      <c r="G86" s="18" t="str">
        <f aca="false">IF(COUNT(D86:F86)=3,AVERAGE(D86:F86),"")</f>
        <v/>
      </c>
      <c r="H86" s="18" t="str">
        <f aca="false">IF(COUNT(D86:F86)=3,MAX(D86:F86)-MIN(D86:F86),"")</f>
        <v/>
      </c>
      <c r="I86" s="18" t="str">
        <f aca="false">IF(H86="","",IF(H86&gt;1,"RECONCILE","OK"))</f>
        <v/>
      </c>
      <c r="J86" s="18" t="str">
        <f aca="false">IF(G86="","",G86)</f>
        <v/>
      </c>
    </row>
    <row r="87" customFormat="false" ht="15" hidden="false" customHeight="false" outlineLevel="0" collapsed="false">
      <c r="A87" s="18" t="s">
        <v>148</v>
      </c>
      <c r="B87" s="18" t="n">
        <v>3</v>
      </c>
      <c r="C87" s="18" t="s">
        <v>312</v>
      </c>
      <c r="D87" s="18" t="str">
        <f aca="false">4_Scorer_A!G87</f>
        <v/>
      </c>
      <c r="E87" s="18" t="str">
        <f aca="false">4_Scorer_B!G87</f>
        <v/>
      </c>
      <c r="F87" s="18" t="str">
        <f aca="false">4_Scorer_C!G87</f>
        <v/>
      </c>
      <c r="G87" s="18" t="str">
        <f aca="false">IF(COUNT(D87:F87)=3,AVERAGE(D87:F87),"")</f>
        <v/>
      </c>
      <c r="H87" s="18" t="str">
        <f aca="false">IF(COUNT(D87:F87)=3,MAX(D87:F87)-MIN(D87:F87),"")</f>
        <v/>
      </c>
      <c r="I87" s="18" t="str">
        <f aca="false">IF(H87="","",IF(H87&gt;1,"RECONCILE","OK"))</f>
        <v/>
      </c>
      <c r="J87" s="18" t="str">
        <f aca="false">IF(G87="","",G87)</f>
        <v/>
      </c>
    </row>
    <row r="88" customFormat="false" ht="15" hidden="false" customHeight="false" outlineLevel="0" collapsed="false">
      <c r="A88" s="18" t="s">
        <v>148</v>
      </c>
      <c r="B88" s="18" t="n">
        <v>3</v>
      </c>
      <c r="C88" s="18" t="s">
        <v>313</v>
      </c>
      <c r="D88" s="18" t="str">
        <f aca="false">4_Scorer_A!G88</f>
        <v/>
      </c>
      <c r="E88" s="18" t="str">
        <f aca="false">4_Scorer_B!G88</f>
        <v/>
      </c>
      <c r="F88" s="18" t="str">
        <f aca="false">4_Scorer_C!G88</f>
        <v/>
      </c>
      <c r="G88" s="18" t="str">
        <f aca="false">IF(COUNT(D88:F88)=3,AVERAGE(D88:F88),"")</f>
        <v/>
      </c>
      <c r="H88" s="18" t="str">
        <f aca="false">IF(COUNT(D88:F88)=3,MAX(D88:F88)-MIN(D88:F88),"")</f>
        <v/>
      </c>
      <c r="I88" s="18" t="str">
        <f aca="false">IF(H88="","",IF(H88&gt;1,"RECONCILE","OK"))</f>
        <v/>
      </c>
      <c r="J88" s="18" t="str">
        <f aca="false">IF(G88="","",G88)</f>
        <v/>
      </c>
    </row>
    <row r="89" customFormat="false" ht="15" hidden="false" customHeight="false" outlineLevel="0" collapsed="false">
      <c r="A89" s="18" t="s">
        <v>148</v>
      </c>
      <c r="B89" s="18" t="n">
        <v>3</v>
      </c>
      <c r="C89" s="18" t="s">
        <v>314</v>
      </c>
      <c r="D89" s="18" t="str">
        <f aca="false">4_Scorer_A!G89</f>
        <v/>
      </c>
      <c r="E89" s="18" t="str">
        <f aca="false">4_Scorer_B!G89</f>
        <v/>
      </c>
      <c r="F89" s="18" t="str">
        <f aca="false">4_Scorer_C!G89</f>
        <v/>
      </c>
      <c r="G89" s="18" t="str">
        <f aca="false">IF(COUNT(D89:F89)=3,AVERAGE(D89:F89),"")</f>
        <v/>
      </c>
      <c r="H89" s="18" t="str">
        <f aca="false">IF(COUNT(D89:F89)=3,MAX(D89:F89)-MIN(D89:F89),"")</f>
        <v/>
      </c>
      <c r="I89" s="18" t="str">
        <f aca="false">IF(H89="","",IF(H89&gt;1,"RECONCILE","OK"))</f>
        <v/>
      </c>
      <c r="J89" s="18" t="str">
        <f aca="false">IF(G89="","",G89)</f>
        <v/>
      </c>
    </row>
    <row r="90" customFormat="false" ht="15" hidden="false" customHeight="false" outlineLevel="0" collapsed="false">
      <c r="A90" s="18" t="s">
        <v>152</v>
      </c>
      <c r="B90" s="18" t="n">
        <v>3</v>
      </c>
      <c r="C90" s="18" t="s">
        <v>311</v>
      </c>
      <c r="D90" s="18" t="str">
        <f aca="false">4_Scorer_A!G90</f>
        <v/>
      </c>
      <c r="E90" s="18" t="str">
        <f aca="false">4_Scorer_B!G90</f>
        <v/>
      </c>
      <c r="F90" s="18" t="str">
        <f aca="false">4_Scorer_C!G90</f>
        <v/>
      </c>
      <c r="G90" s="18" t="str">
        <f aca="false">IF(COUNT(D90:F90)=3,AVERAGE(D90:F90),"")</f>
        <v/>
      </c>
      <c r="H90" s="18" t="str">
        <f aca="false">IF(COUNT(D90:F90)=3,MAX(D90:F90)-MIN(D90:F90),"")</f>
        <v/>
      </c>
      <c r="I90" s="18" t="str">
        <f aca="false">IF(H90="","",IF(H90&gt;1,"RECONCILE","OK"))</f>
        <v/>
      </c>
      <c r="J90" s="18" t="str">
        <f aca="false">IF(G90="","",G90)</f>
        <v/>
      </c>
    </row>
    <row r="91" customFormat="false" ht="15" hidden="false" customHeight="false" outlineLevel="0" collapsed="false">
      <c r="A91" s="18" t="s">
        <v>152</v>
      </c>
      <c r="B91" s="18" t="n">
        <v>3</v>
      </c>
      <c r="C91" s="18" t="s">
        <v>312</v>
      </c>
      <c r="D91" s="18" t="str">
        <f aca="false">4_Scorer_A!G91</f>
        <v/>
      </c>
      <c r="E91" s="18" t="str">
        <f aca="false">4_Scorer_B!G91</f>
        <v/>
      </c>
      <c r="F91" s="18" t="str">
        <f aca="false">4_Scorer_C!G91</f>
        <v/>
      </c>
      <c r="G91" s="18" t="str">
        <f aca="false">IF(COUNT(D91:F91)=3,AVERAGE(D91:F91),"")</f>
        <v/>
      </c>
      <c r="H91" s="18" t="str">
        <f aca="false">IF(COUNT(D91:F91)=3,MAX(D91:F91)-MIN(D91:F91),"")</f>
        <v/>
      </c>
      <c r="I91" s="18" t="str">
        <f aca="false">IF(H91="","",IF(H91&gt;1,"RECONCILE","OK"))</f>
        <v/>
      </c>
      <c r="J91" s="18" t="str">
        <f aca="false">IF(G91="","",G91)</f>
        <v/>
      </c>
    </row>
    <row r="92" customFormat="false" ht="15" hidden="false" customHeight="false" outlineLevel="0" collapsed="false">
      <c r="A92" s="18" t="s">
        <v>152</v>
      </c>
      <c r="B92" s="18" t="n">
        <v>3</v>
      </c>
      <c r="C92" s="18" t="s">
        <v>313</v>
      </c>
      <c r="D92" s="18" t="str">
        <f aca="false">4_Scorer_A!G92</f>
        <v/>
      </c>
      <c r="E92" s="18" t="str">
        <f aca="false">4_Scorer_B!G92</f>
        <v/>
      </c>
      <c r="F92" s="18" t="str">
        <f aca="false">4_Scorer_C!G92</f>
        <v/>
      </c>
      <c r="G92" s="18" t="str">
        <f aca="false">IF(COUNT(D92:F92)=3,AVERAGE(D92:F92),"")</f>
        <v/>
      </c>
      <c r="H92" s="18" t="str">
        <f aca="false">IF(COUNT(D92:F92)=3,MAX(D92:F92)-MIN(D92:F92),"")</f>
        <v/>
      </c>
      <c r="I92" s="18" t="str">
        <f aca="false">IF(H92="","",IF(H92&gt;1,"RECONCILE","OK"))</f>
        <v/>
      </c>
      <c r="J92" s="18" t="str">
        <f aca="false">IF(G92="","",G92)</f>
        <v/>
      </c>
    </row>
    <row r="93" customFormat="false" ht="15" hidden="false" customHeight="false" outlineLevel="0" collapsed="false">
      <c r="A93" s="18" t="s">
        <v>152</v>
      </c>
      <c r="B93" s="18" t="n">
        <v>3</v>
      </c>
      <c r="C93" s="18" t="s">
        <v>314</v>
      </c>
      <c r="D93" s="18" t="str">
        <f aca="false">4_Scorer_A!G93</f>
        <v/>
      </c>
      <c r="E93" s="18" t="str">
        <f aca="false">4_Scorer_B!G93</f>
        <v/>
      </c>
      <c r="F93" s="18" t="str">
        <f aca="false">4_Scorer_C!G93</f>
        <v/>
      </c>
      <c r="G93" s="18" t="str">
        <f aca="false">IF(COUNT(D93:F93)=3,AVERAGE(D93:F93),"")</f>
        <v/>
      </c>
      <c r="H93" s="18" t="str">
        <f aca="false">IF(COUNT(D93:F93)=3,MAX(D93:F93)-MIN(D93:F93),"")</f>
        <v/>
      </c>
      <c r="I93" s="18" t="str">
        <f aca="false">IF(H93="","",IF(H93&gt;1,"RECONCILE","OK"))</f>
        <v/>
      </c>
      <c r="J93" s="18" t="str">
        <f aca="false">IF(G93="","",G93)</f>
        <v/>
      </c>
    </row>
    <row r="94" customFormat="false" ht="15" hidden="false" customHeight="false" outlineLevel="0" collapsed="false">
      <c r="A94" s="18" t="s">
        <v>156</v>
      </c>
      <c r="B94" s="18" t="n">
        <v>3</v>
      </c>
      <c r="C94" s="18" t="s">
        <v>311</v>
      </c>
      <c r="D94" s="18" t="str">
        <f aca="false">4_Scorer_A!G94</f>
        <v/>
      </c>
      <c r="E94" s="18" t="str">
        <f aca="false">4_Scorer_B!G94</f>
        <v/>
      </c>
      <c r="F94" s="18" t="str">
        <f aca="false">4_Scorer_C!G94</f>
        <v/>
      </c>
      <c r="G94" s="18" t="str">
        <f aca="false">IF(COUNT(D94:F94)=3,AVERAGE(D94:F94),"")</f>
        <v/>
      </c>
      <c r="H94" s="18" t="str">
        <f aca="false">IF(COUNT(D94:F94)=3,MAX(D94:F94)-MIN(D94:F94),"")</f>
        <v/>
      </c>
      <c r="I94" s="18" t="str">
        <f aca="false">IF(H94="","",IF(H94&gt;1,"RECONCILE","OK"))</f>
        <v/>
      </c>
      <c r="J94" s="18" t="str">
        <f aca="false">IF(G94="","",G94)</f>
        <v/>
      </c>
    </row>
    <row r="95" customFormat="false" ht="15" hidden="false" customHeight="false" outlineLevel="0" collapsed="false">
      <c r="A95" s="18" t="s">
        <v>156</v>
      </c>
      <c r="B95" s="18" t="n">
        <v>3</v>
      </c>
      <c r="C95" s="18" t="s">
        <v>312</v>
      </c>
      <c r="D95" s="18" t="str">
        <f aca="false">4_Scorer_A!G95</f>
        <v/>
      </c>
      <c r="E95" s="18" t="str">
        <f aca="false">4_Scorer_B!G95</f>
        <v/>
      </c>
      <c r="F95" s="18" t="str">
        <f aca="false">4_Scorer_C!G95</f>
        <v/>
      </c>
      <c r="G95" s="18" t="str">
        <f aca="false">IF(COUNT(D95:F95)=3,AVERAGE(D95:F95),"")</f>
        <v/>
      </c>
      <c r="H95" s="18" t="str">
        <f aca="false">IF(COUNT(D95:F95)=3,MAX(D95:F95)-MIN(D95:F95),"")</f>
        <v/>
      </c>
      <c r="I95" s="18" t="str">
        <f aca="false">IF(H95="","",IF(H95&gt;1,"RECONCILE","OK"))</f>
        <v/>
      </c>
      <c r="J95" s="18" t="str">
        <f aca="false">IF(G95="","",G95)</f>
        <v/>
      </c>
    </row>
    <row r="96" customFormat="false" ht="15" hidden="false" customHeight="false" outlineLevel="0" collapsed="false">
      <c r="A96" s="18" t="s">
        <v>156</v>
      </c>
      <c r="B96" s="18" t="n">
        <v>3</v>
      </c>
      <c r="C96" s="18" t="s">
        <v>313</v>
      </c>
      <c r="D96" s="18" t="str">
        <f aca="false">4_Scorer_A!G96</f>
        <v/>
      </c>
      <c r="E96" s="18" t="str">
        <f aca="false">4_Scorer_B!G96</f>
        <v/>
      </c>
      <c r="F96" s="18" t="str">
        <f aca="false">4_Scorer_C!G96</f>
        <v/>
      </c>
      <c r="G96" s="18" t="str">
        <f aca="false">IF(COUNT(D96:F96)=3,AVERAGE(D96:F96),"")</f>
        <v/>
      </c>
      <c r="H96" s="18" t="str">
        <f aca="false">IF(COUNT(D96:F96)=3,MAX(D96:F96)-MIN(D96:F96),"")</f>
        <v/>
      </c>
      <c r="I96" s="18" t="str">
        <f aca="false">IF(H96="","",IF(H96&gt;1,"RECONCILE","OK"))</f>
        <v/>
      </c>
      <c r="J96" s="18" t="str">
        <f aca="false">IF(G96="","",G96)</f>
        <v/>
      </c>
    </row>
    <row r="97" customFormat="false" ht="15" hidden="false" customHeight="false" outlineLevel="0" collapsed="false">
      <c r="A97" s="18" t="s">
        <v>156</v>
      </c>
      <c r="B97" s="18" t="n">
        <v>3</v>
      </c>
      <c r="C97" s="18" t="s">
        <v>314</v>
      </c>
      <c r="D97" s="18" t="str">
        <f aca="false">4_Scorer_A!G97</f>
        <v/>
      </c>
      <c r="E97" s="18" t="str">
        <f aca="false">4_Scorer_B!G97</f>
        <v/>
      </c>
      <c r="F97" s="18" t="str">
        <f aca="false">4_Scorer_C!G97</f>
        <v/>
      </c>
      <c r="G97" s="18" t="str">
        <f aca="false">IF(COUNT(D97:F97)=3,AVERAGE(D97:F97),"")</f>
        <v/>
      </c>
      <c r="H97" s="18" t="str">
        <f aca="false">IF(COUNT(D97:F97)=3,MAX(D97:F97)-MIN(D97:F97),"")</f>
        <v/>
      </c>
      <c r="I97" s="18" t="str">
        <f aca="false">IF(H97="","",IF(H97&gt;1,"RECONCILE","OK"))</f>
        <v/>
      </c>
      <c r="J97" s="18" t="str">
        <f aca="false">IF(G97="","",G97)</f>
        <v/>
      </c>
    </row>
    <row r="98" customFormat="false" ht="15" hidden="false" customHeight="false" outlineLevel="0" collapsed="false">
      <c r="A98" s="18" t="s">
        <v>160</v>
      </c>
      <c r="B98" s="18" t="n">
        <v>3</v>
      </c>
      <c r="C98" s="18" t="s">
        <v>311</v>
      </c>
      <c r="D98" s="18" t="str">
        <f aca="false">4_Scorer_A!G98</f>
        <v/>
      </c>
      <c r="E98" s="18" t="str">
        <f aca="false">4_Scorer_B!G98</f>
        <v/>
      </c>
      <c r="F98" s="18" t="str">
        <f aca="false">4_Scorer_C!G98</f>
        <v/>
      </c>
      <c r="G98" s="18" t="str">
        <f aca="false">IF(COUNT(D98:F98)=3,AVERAGE(D98:F98),"")</f>
        <v/>
      </c>
      <c r="H98" s="18" t="str">
        <f aca="false">IF(COUNT(D98:F98)=3,MAX(D98:F98)-MIN(D98:F98),"")</f>
        <v/>
      </c>
      <c r="I98" s="18" t="str">
        <f aca="false">IF(H98="","",IF(H98&gt;1,"RECONCILE","OK"))</f>
        <v/>
      </c>
      <c r="J98" s="18" t="str">
        <f aca="false">IF(G98="","",G98)</f>
        <v/>
      </c>
    </row>
    <row r="99" customFormat="false" ht="15" hidden="false" customHeight="false" outlineLevel="0" collapsed="false">
      <c r="A99" s="18" t="s">
        <v>160</v>
      </c>
      <c r="B99" s="18" t="n">
        <v>3</v>
      </c>
      <c r="C99" s="18" t="s">
        <v>312</v>
      </c>
      <c r="D99" s="18" t="str">
        <f aca="false">4_Scorer_A!G99</f>
        <v/>
      </c>
      <c r="E99" s="18" t="str">
        <f aca="false">4_Scorer_B!G99</f>
        <v/>
      </c>
      <c r="F99" s="18" t="str">
        <f aca="false">4_Scorer_C!G99</f>
        <v/>
      </c>
      <c r="G99" s="18" t="str">
        <f aca="false">IF(COUNT(D99:F99)=3,AVERAGE(D99:F99),"")</f>
        <v/>
      </c>
      <c r="H99" s="18" t="str">
        <f aca="false">IF(COUNT(D99:F99)=3,MAX(D99:F99)-MIN(D99:F99),"")</f>
        <v/>
      </c>
      <c r="I99" s="18" t="str">
        <f aca="false">IF(H99="","",IF(H99&gt;1,"RECONCILE","OK"))</f>
        <v/>
      </c>
      <c r="J99" s="18" t="str">
        <f aca="false">IF(G99="","",G99)</f>
        <v/>
      </c>
    </row>
    <row r="100" customFormat="false" ht="15" hidden="false" customHeight="false" outlineLevel="0" collapsed="false">
      <c r="A100" s="18" t="s">
        <v>160</v>
      </c>
      <c r="B100" s="18" t="n">
        <v>3</v>
      </c>
      <c r="C100" s="18" t="s">
        <v>313</v>
      </c>
      <c r="D100" s="18" t="str">
        <f aca="false">4_Scorer_A!G100</f>
        <v/>
      </c>
      <c r="E100" s="18" t="str">
        <f aca="false">4_Scorer_B!G100</f>
        <v/>
      </c>
      <c r="F100" s="18" t="str">
        <f aca="false">4_Scorer_C!G100</f>
        <v/>
      </c>
      <c r="G100" s="18" t="str">
        <f aca="false">IF(COUNT(D100:F100)=3,AVERAGE(D100:F100),"")</f>
        <v/>
      </c>
      <c r="H100" s="18" t="str">
        <f aca="false">IF(COUNT(D100:F100)=3,MAX(D100:F100)-MIN(D100:F100),"")</f>
        <v/>
      </c>
      <c r="I100" s="18" t="str">
        <f aca="false">IF(H100="","",IF(H100&gt;1,"RECONCILE","OK"))</f>
        <v/>
      </c>
      <c r="J100" s="18" t="str">
        <f aca="false">IF(G100="","",G100)</f>
        <v/>
      </c>
    </row>
    <row r="101" customFormat="false" ht="15" hidden="false" customHeight="false" outlineLevel="0" collapsed="false">
      <c r="A101" s="18" t="s">
        <v>160</v>
      </c>
      <c r="B101" s="18" t="n">
        <v>3</v>
      </c>
      <c r="C101" s="18" t="s">
        <v>314</v>
      </c>
      <c r="D101" s="18" t="str">
        <f aca="false">4_Scorer_A!G101</f>
        <v/>
      </c>
      <c r="E101" s="18" t="str">
        <f aca="false">4_Scorer_B!G101</f>
        <v/>
      </c>
      <c r="F101" s="18" t="str">
        <f aca="false">4_Scorer_C!G101</f>
        <v/>
      </c>
      <c r="G101" s="18" t="str">
        <f aca="false">IF(COUNT(D101:F101)=3,AVERAGE(D101:F101),"")</f>
        <v/>
      </c>
      <c r="H101" s="18" t="str">
        <f aca="false">IF(COUNT(D101:F101)=3,MAX(D101:F101)-MIN(D101:F101),"")</f>
        <v/>
      </c>
      <c r="I101" s="18" t="str">
        <f aca="false">IF(H101="","",IF(H101&gt;1,"RECONCILE","OK"))</f>
        <v/>
      </c>
      <c r="J101" s="18" t="str">
        <f aca="false">IF(G101="","",G101)</f>
        <v/>
      </c>
    </row>
    <row r="102" customFormat="false" ht="15" hidden="false" customHeight="false" outlineLevel="0" collapsed="false">
      <c r="A102" s="18" t="s">
        <v>164</v>
      </c>
      <c r="B102" s="18" t="n">
        <v>3</v>
      </c>
      <c r="C102" s="18" t="s">
        <v>311</v>
      </c>
      <c r="D102" s="18" t="str">
        <f aca="false">4_Scorer_A!G102</f>
        <v/>
      </c>
      <c r="E102" s="18" t="str">
        <f aca="false">4_Scorer_B!G102</f>
        <v/>
      </c>
      <c r="F102" s="18" t="str">
        <f aca="false">4_Scorer_C!G102</f>
        <v/>
      </c>
      <c r="G102" s="18" t="str">
        <f aca="false">IF(COUNT(D102:F102)=3,AVERAGE(D102:F102),"")</f>
        <v/>
      </c>
      <c r="H102" s="18" t="str">
        <f aca="false">IF(COUNT(D102:F102)=3,MAX(D102:F102)-MIN(D102:F102),"")</f>
        <v/>
      </c>
      <c r="I102" s="18" t="str">
        <f aca="false">IF(H102="","",IF(H102&gt;1,"RECONCILE","OK"))</f>
        <v/>
      </c>
      <c r="J102" s="18" t="str">
        <f aca="false">IF(G102="","",G102)</f>
        <v/>
      </c>
    </row>
    <row r="103" customFormat="false" ht="15" hidden="false" customHeight="false" outlineLevel="0" collapsed="false">
      <c r="A103" s="18" t="s">
        <v>164</v>
      </c>
      <c r="B103" s="18" t="n">
        <v>3</v>
      </c>
      <c r="C103" s="18" t="s">
        <v>312</v>
      </c>
      <c r="D103" s="18" t="str">
        <f aca="false">4_Scorer_A!G103</f>
        <v/>
      </c>
      <c r="E103" s="18" t="str">
        <f aca="false">4_Scorer_B!G103</f>
        <v/>
      </c>
      <c r="F103" s="18" t="str">
        <f aca="false">4_Scorer_C!G103</f>
        <v/>
      </c>
      <c r="G103" s="18" t="str">
        <f aca="false">IF(COUNT(D103:F103)=3,AVERAGE(D103:F103),"")</f>
        <v/>
      </c>
      <c r="H103" s="18" t="str">
        <f aca="false">IF(COUNT(D103:F103)=3,MAX(D103:F103)-MIN(D103:F103),"")</f>
        <v/>
      </c>
      <c r="I103" s="18" t="str">
        <f aca="false">IF(H103="","",IF(H103&gt;1,"RECONCILE","OK"))</f>
        <v/>
      </c>
      <c r="J103" s="18" t="str">
        <f aca="false">IF(G103="","",G103)</f>
        <v/>
      </c>
    </row>
    <row r="104" customFormat="false" ht="15" hidden="false" customHeight="false" outlineLevel="0" collapsed="false">
      <c r="A104" s="18" t="s">
        <v>164</v>
      </c>
      <c r="B104" s="18" t="n">
        <v>3</v>
      </c>
      <c r="C104" s="18" t="s">
        <v>313</v>
      </c>
      <c r="D104" s="18" t="str">
        <f aca="false">4_Scorer_A!G104</f>
        <v/>
      </c>
      <c r="E104" s="18" t="str">
        <f aca="false">4_Scorer_B!G104</f>
        <v/>
      </c>
      <c r="F104" s="18" t="str">
        <f aca="false">4_Scorer_C!G104</f>
        <v/>
      </c>
      <c r="G104" s="18" t="str">
        <f aca="false">IF(COUNT(D104:F104)=3,AVERAGE(D104:F104),"")</f>
        <v/>
      </c>
      <c r="H104" s="18" t="str">
        <f aca="false">IF(COUNT(D104:F104)=3,MAX(D104:F104)-MIN(D104:F104),"")</f>
        <v/>
      </c>
      <c r="I104" s="18" t="str">
        <f aca="false">IF(H104="","",IF(H104&gt;1,"RECONCILE","OK"))</f>
        <v/>
      </c>
      <c r="J104" s="18" t="str">
        <f aca="false">IF(G104="","",G104)</f>
        <v/>
      </c>
    </row>
    <row r="105" customFormat="false" ht="15" hidden="false" customHeight="false" outlineLevel="0" collapsed="false">
      <c r="A105" s="18" t="s">
        <v>164</v>
      </c>
      <c r="B105" s="18" t="n">
        <v>3</v>
      </c>
      <c r="C105" s="18" t="s">
        <v>314</v>
      </c>
      <c r="D105" s="18" t="str">
        <f aca="false">4_Scorer_A!G105</f>
        <v/>
      </c>
      <c r="E105" s="18" t="str">
        <f aca="false">4_Scorer_B!G105</f>
        <v/>
      </c>
      <c r="F105" s="18" t="str">
        <f aca="false">4_Scorer_C!G105</f>
        <v/>
      </c>
      <c r="G105" s="18" t="str">
        <f aca="false">IF(COUNT(D105:F105)=3,AVERAGE(D105:F105),"")</f>
        <v/>
      </c>
      <c r="H105" s="18" t="str">
        <f aca="false">IF(COUNT(D105:F105)=3,MAX(D105:F105)-MIN(D105:F105),"")</f>
        <v/>
      </c>
      <c r="I105" s="18" t="str">
        <f aca="false">IF(H105="","",IF(H105&gt;1,"RECONCILE","OK"))</f>
        <v/>
      </c>
      <c r="J105" s="18" t="str">
        <f aca="false">IF(G105="","",G105)</f>
        <v/>
      </c>
    </row>
    <row r="106" customFormat="false" ht="15" hidden="false" customHeight="false" outlineLevel="0" collapsed="false">
      <c r="A106" s="18" t="s">
        <v>168</v>
      </c>
      <c r="B106" s="18" t="n">
        <v>3</v>
      </c>
      <c r="C106" s="18" t="s">
        <v>311</v>
      </c>
      <c r="D106" s="18" t="str">
        <f aca="false">4_Scorer_A!G106</f>
        <v/>
      </c>
      <c r="E106" s="18" t="str">
        <f aca="false">4_Scorer_B!G106</f>
        <v/>
      </c>
      <c r="F106" s="18" t="str">
        <f aca="false">4_Scorer_C!G106</f>
        <v/>
      </c>
      <c r="G106" s="18" t="str">
        <f aca="false">IF(COUNT(D106:F106)=3,AVERAGE(D106:F106),"")</f>
        <v/>
      </c>
      <c r="H106" s="18" t="str">
        <f aca="false">IF(COUNT(D106:F106)=3,MAX(D106:F106)-MIN(D106:F106),"")</f>
        <v/>
      </c>
      <c r="I106" s="18" t="str">
        <f aca="false">IF(H106="","",IF(H106&gt;1,"RECONCILE","OK"))</f>
        <v/>
      </c>
      <c r="J106" s="18" t="str">
        <f aca="false">IF(G106="","",G106)</f>
        <v/>
      </c>
    </row>
    <row r="107" customFormat="false" ht="15" hidden="false" customHeight="false" outlineLevel="0" collapsed="false">
      <c r="A107" s="18" t="s">
        <v>168</v>
      </c>
      <c r="B107" s="18" t="n">
        <v>3</v>
      </c>
      <c r="C107" s="18" t="s">
        <v>312</v>
      </c>
      <c r="D107" s="18" t="str">
        <f aca="false">4_Scorer_A!G107</f>
        <v/>
      </c>
      <c r="E107" s="18" t="str">
        <f aca="false">4_Scorer_B!G107</f>
        <v/>
      </c>
      <c r="F107" s="18" t="str">
        <f aca="false">4_Scorer_C!G107</f>
        <v/>
      </c>
      <c r="G107" s="18" t="str">
        <f aca="false">IF(COUNT(D107:F107)=3,AVERAGE(D107:F107),"")</f>
        <v/>
      </c>
      <c r="H107" s="18" t="str">
        <f aca="false">IF(COUNT(D107:F107)=3,MAX(D107:F107)-MIN(D107:F107),"")</f>
        <v/>
      </c>
      <c r="I107" s="18" t="str">
        <f aca="false">IF(H107="","",IF(H107&gt;1,"RECONCILE","OK"))</f>
        <v/>
      </c>
      <c r="J107" s="18" t="str">
        <f aca="false">IF(G107="","",G107)</f>
        <v/>
      </c>
    </row>
    <row r="108" customFormat="false" ht="15" hidden="false" customHeight="false" outlineLevel="0" collapsed="false">
      <c r="A108" s="18" t="s">
        <v>168</v>
      </c>
      <c r="B108" s="18" t="n">
        <v>3</v>
      </c>
      <c r="C108" s="18" t="s">
        <v>313</v>
      </c>
      <c r="D108" s="18" t="str">
        <f aca="false">4_Scorer_A!G108</f>
        <v/>
      </c>
      <c r="E108" s="18" t="str">
        <f aca="false">4_Scorer_B!G108</f>
        <v/>
      </c>
      <c r="F108" s="18" t="str">
        <f aca="false">4_Scorer_C!G108</f>
        <v/>
      </c>
      <c r="G108" s="18" t="str">
        <f aca="false">IF(COUNT(D108:F108)=3,AVERAGE(D108:F108),"")</f>
        <v/>
      </c>
      <c r="H108" s="18" t="str">
        <f aca="false">IF(COUNT(D108:F108)=3,MAX(D108:F108)-MIN(D108:F108),"")</f>
        <v/>
      </c>
      <c r="I108" s="18" t="str">
        <f aca="false">IF(H108="","",IF(H108&gt;1,"RECONCILE","OK"))</f>
        <v/>
      </c>
      <c r="J108" s="18" t="str">
        <f aca="false">IF(G108="","",G108)</f>
        <v/>
      </c>
    </row>
    <row r="109" customFormat="false" ht="15" hidden="false" customHeight="false" outlineLevel="0" collapsed="false">
      <c r="A109" s="18" t="s">
        <v>168</v>
      </c>
      <c r="B109" s="18" t="n">
        <v>3</v>
      </c>
      <c r="C109" s="18" t="s">
        <v>314</v>
      </c>
      <c r="D109" s="18" t="str">
        <f aca="false">4_Scorer_A!G109</f>
        <v/>
      </c>
      <c r="E109" s="18" t="str">
        <f aca="false">4_Scorer_B!G109</f>
        <v/>
      </c>
      <c r="F109" s="18" t="str">
        <f aca="false">4_Scorer_C!G109</f>
        <v/>
      </c>
      <c r="G109" s="18" t="str">
        <f aca="false">IF(COUNT(D109:F109)=3,AVERAGE(D109:F109),"")</f>
        <v/>
      </c>
      <c r="H109" s="18" t="str">
        <f aca="false">IF(COUNT(D109:F109)=3,MAX(D109:F109)-MIN(D109:F109),"")</f>
        <v/>
      </c>
      <c r="I109" s="18" t="str">
        <f aca="false">IF(H109="","",IF(H109&gt;1,"RECONCILE","OK"))</f>
        <v/>
      </c>
      <c r="J109" s="18" t="str">
        <f aca="false">IF(G109="","",G109)</f>
        <v/>
      </c>
    </row>
    <row r="110" customFormat="false" ht="15" hidden="false" customHeight="false" outlineLevel="0" collapsed="false">
      <c r="A110" s="18" t="s">
        <v>172</v>
      </c>
      <c r="B110" s="18" t="n">
        <v>3</v>
      </c>
      <c r="C110" s="18" t="s">
        <v>311</v>
      </c>
      <c r="D110" s="18" t="str">
        <f aca="false">4_Scorer_A!G110</f>
        <v/>
      </c>
      <c r="E110" s="18" t="str">
        <f aca="false">4_Scorer_B!G110</f>
        <v/>
      </c>
      <c r="F110" s="18" t="str">
        <f aca="false">4_Scorer_C!G110</f>
        <v/>
      </c>
      <c r="G110" s="18" t="str">
        <f aca="false">IF(COUNT(D110:F110)=3,AVERAGE(D110:F110),"")</f>
        <v/>
      </c>
      <c r="H110" s="18" t="str">
        <f aca="false">IF(COUNT(D110:F110)=3,MAX(D110:F110)-MIN(D110:F110),"")</f>
        <v/>
      </c>
      <c r="I110" s="18" t="str">
        <f aca="false">IF(H110="","",IF(H110&gt;1,"RECONCILE","OK"))</f>
        <v/>
      </c>
      <c r="J110" s="18" t="str">
        <f aca="false">IF(G110="","",G110)</f>
        <v/>
      </c>
    </row>
    <row r="111" customFormat="false" ht="15" hidden="false" customHeight="false" outlineLevel="0" collapsed="false">
      <c r="A111" s="18" t="s">
        <v>172</v>
      </c>
      <c r="B111" s="18" t="n">
        <v>3</v>
      </c>
      <c r="C111" s="18" t="s">
        <v>312</v>
      </c>
      <c r="D111" s="18" t="str">
        <f aca="false">4_Scorer_A!G111</f>
        <v/>
      </c>
      <c r="E111" s="18" t="str">
        <f aca="false">4_Scorer_B!G111</f>
        <v/>
      </c>
      <c r="F111" s="18" t="str">
        <f aca="false">4_Scorer_C!G111</f>
        <v/>
      </c>
      <c r="G111" s="18" t="str">
        <f aca="false">IF(COUNT(D111:F111)=3,AVERAGE(D111:F111),"")</f>
        <v/>
      </c>
      <c r="H111" s="18" t="str">
        <f aca="false">IF(COUNT(D111:F111)=3,MAX(D111:F111)-MIN(D111:F111),"")</f>
        <v/>
      </c>
      <c r="I111" s="18" t="str">
        <f aca="false">IF(H111="","",IF(H111&gt;1,"RECONCILE","OK"))</f>
        <v/>
      </c>
      <c r="J111" s="18" t="str">
        <f aca="false">IF(G111="","",G111)</f>
        <v/>
      </c>
    </row>
    <row r="112" customFormat="false" ht="15" hidden="false" customHeight="false" outlineLevel="0" collapsed="false">
      <c r="A112" s="18" t="s">
        <v>172</v>
      </c>
      <c r="B112" s="18" t="n">
        <v>3</v>
      </c>
      <c r="C112" s="18" t="s">
        <v>313</v>
      </c>
      <c r="D112" s="18" t="str">
        <f aca="false">4_Scorer_A!G112</f>
        <v/>
      </c>
      <c r="E112" s="18" t="str">
        <f aca="false">4_Scorer_B!G112</f>
        <v/>
      </c>
      <c r="F112" s="18" t="str">
        <f aca="false">4_Scorer_C!G112</f>
        <v/>
      </c>
      <c r="G112" s="18" t="str">
        <f aca="false">IF(COUNT(D112:F112)=3,AVERAGE(D112:F112),"")</f>
        <v/>
      </c>
      <c r="H112" s="18" t="str">
        <f aca="false">IF(COUNT(D112:F112)=3,MAX(D112:F112)-MIN(D112:F112),"")</f>
        <v/>
      </c>
      <c r="I112" s="18" t="str">
        <f aca="false">IF(H112="","",IF(H112&gt;1,"RECONCILE","OK"))</f>
        <v/>
      </c>
      <c r="J112" s="18" t="str">
        <f aca="false">IF(G112="","",G112)</f>
        <v/>
      </c>
    </row>
    <row r="113" customFormat="false" ht="15" hidden="false" customHeight="false" outlineLevel="0" collapsed="false">
      <c r="A113" s="18" t="s">
        <v>172</v>
      </c>
      <c r="B113" s="18" t="n">
        <v>3</v>
      </c>
      <c r="C113" s="18" t="s">
        <v>314</v>
      </c>
      <c r="D113" s="18" t="str">
        <f aca="false">4_Scorer_A!G113</f>
        <v/>
      </c>
      <c r="E113" s="18" t="str">
        <f aca="false">4_Scorer_B!G113</f>
        <v/>
      </c>
      <c r="F113" s="18" t="str">
        <f aca="false">4_Scorer_C!G113</f>
        <v/>
      </c>
      <c r="G113" s="18" t="str">
        <f aca="false">IF(COUNT(D113:F113)=3,AVERAGE(D113:F113),"")</f>
        <v/>
      </c>
      <c r="H113" s="18" t="str">
        <f aca="false">IF(COUNT(D113:F113)=3,MAX(D113:F113)-MIN(D113:F113),"")</f>
        <v/>
      </c>
      <c r="I113" s="18" t="str">
        <f aca="false">IF(H113="","",IF(H113&gt;1,"RECONCILE","OK"))</f>
        <v/>
      </c>
      <c r="J113" s="18" t="str">
        <f aca="false">IF(G113="","",G113)</f>
        <v/>
      </c>
    </row>
    <row r="114" customFormat="false" ht="15" hidden="false" customHeight="false" outlineLevel="0" collapsed="false">
      <c r="A114" s="18" t="s">
        <v>176</v>
      </c>
      <c r="B114" s="18" t="n">
        <v>3</v>
      </c>
      <c r="C114" s="18" t="s">
        <v>311</v>
      </c>
      <c r="D114" s="18" t="str">
        <f aca="false">4_Scorer_A!G114</f>
        <v/>
      </c>
      <c r="E114" s="18" t="str">
        <f aca="false">4_Scorer_B!G114</f>
        <v/>
      </c>
      <c r="F114" s="18" t="str">
        <f aca="false">4_Scorer_C!G114</f>
        <v/>
      </c>
      <c r="G114" s="18" t="str">
        <f aca="false">IF(COUNT(D114:F114)=3,AVERAGE(D114:F114),"")</f>
        <v/>
      </c>
      <c r="H114" s="18" t="str">
        <f aca="false">IF(COUNT(D114:F114)=3,MAX(D114:F114)-MIN(D114:F114),"")</f>
        <v/>
      </c>
      <c r="I114" s="18" t="str">
        <f aca="false">IF(H114="","",IF(H114&gt;1,"RECONCILE","OK"))</f>
        <v/>
      </c>
      <c r="J114" s="18" t="str">
        <f aca="false">IF(G114="","",G114)</f>
        <v/>
      </c>
    </row>
    <row r="115" customFormat="false" ht="15" hidden="false" customHeight="false" outlineLevel="0" collapsed="false">
      <c r="A115" s="18" t="s">
        <v>176</v>
      </c>
      <c r="B115" s="18" t="n">
        <v>3</v>
      </c>
      <c r="C115" s="18" t="s">
        <v>312</v>
      </c>
      <c r="D115" s="18" t="str">
        <f aca="false">4_Scorer_A!G115</f>
        <v/>
      </c>
      <c r="E115" s="18" t="str">
        <f aca="false">4_Scorer_B!G115</f>
        <v/>
      </c>
      <c r="F115" s="18" t="str">
        <f aca="false">4_Scorer_C!G115</f>
        <v/>
      </c>
      <c r="G115" s="18" t="str">
        <f aca="false">IF(COUNT(D115:F115)=3,AVERAGE(D115:F115),"")</f>
        <v/>
      </c>
      <c r="H115" s="18" t="str">
        <f aca="false">IF(COUNT(D115:F115)=3,MAX(D115:F115)-MIN(D115:F115),"")</f>
        <v/>
      </c>
      <c r="I115" s="18" t="str">
        <f aca="false">IF(H115="","",IF(H115&gt;1,"RECONCILE","OK"))</f>
        <v/>
      </c>
      <c r="J115" s="18" t="str">
        <f aca="false">IF(G115="","",G115)</f>
        <v/>
      </c>
    </row>
    <row r="116" customFormat="false" ht="15" hidden="false" customHeight="false" outlineLevel="0" collapsed="false">
      <c r="A116" s="18" t="s">
        <v>176</v>
      </c>
      <c r="B116" s="18" t="n">
        <v>3</v>
      </c>
      <c r="C116" s="18" t="s">
        <v>313</v>
      </c>
      <c r="D116" s="18" t="str">
        <f aca="false">4_Scorer_A!G116</f>
        <v/>
      </c>
      <c r="E116" s="18" t="str">
        <f aca="false">4_Scorer_B!G116</f>
        <v/>
      </c>
      <c r="F116" s="18" t="str">
        <f aca="false">4_Scorer_C!G116</f>
        <v/>
      </c>
      <c r="G116" s="18" t="str">
        <f aca="false">IF(COUNT(D116:F116)=3,AVERAGE(D116:F116),"")</f>
        <v/>
      </c>
      <c r="H116" s="18" t="str">
        <f aca="false">IF(COUNT(D116:F116)=3,MAX(D116:F116)-MIN(D116:F116),"")</f>
        <v/>
      </c>
      <c r="I116" s="18" t="str">
        <f aca="false">IF(H116="","",IF(H116&gt;1,"RECONCILE","OK"))</f>
        <v/>
      </c>
      <c r="J116" s="18" t="str">
        <f aca="false">IF(G116="","",G116)</f>
        <v/>
      </c>
    </row>
    <row r="117" customFormat="false" ht="15" hidden="false" customHeight="false" outlineLevel="0" collapsed="false">
      <c r="A117" s="18" t="s">
        <v>176</v>
      </c>
      <c r="B117" s="18" t="n">
        <v>3</v>
      </c>
      <c r="C117" s="18" t="s">
        <v>314</v>
      </c>
      <c r="D117" s="18" t="str">
        <f aca="false">4_Scorer_A!G117</f>
        <v/>
      </c>
      <c r="E117" s="18" t="str">
        <f aca="false">4_Scorer_B!G117</f>
        <v/>
      </c>
      <c r="F117" s="18" t="str">
        <f aca="false">4_Scorer_C!G117</f>
        <v/>
      </c>
      <c r="G117" s="18" t="str">
        <f aca="false">IF(COUNT(D117:F117)=3,AVERAGE(D117:F117),"")</f>
        <v/>
      </c>
      <c r="H117" s="18" t="str">
        <f aca="false">IF(COUNT(D117:F117)=3,MAX(D117:F117)-MIN(D117:F117),"")</f>
        <v/>
      </c>
      <c r="I117" s="18" t="str">
        <f aca="false">IF(H117="","",IF(H117&gt;1,"RECONCILE","OK"))</f>
        <v/>
      </c>
      <c r="J117" s="18" t="str">
        <f aca="false">IF(G117="","",G117)</f>
        <v/>
      </c>
    </row>
    <row r="118" customFormat="false" ht="15" hidden="false" customHeight="false" outlineLevel="0" collapsed="false">
      <c r="A118" s="18" t="s">
        <v>180</v>
      </c>
      <c r="B118" s="18" t="n">
        <v>3</v>
      </c>
      <c r="C118" s="18" t="s">
        <v>311</v>
      </c>
      <c r="D118" s="18" t="str">
        <f aca="false">4_Scorer_A!G118</f>
        <v/>
      </c>
      <c r="E118" s="18" t="str">
        <f aca="false">4_Scorer_B!G118</f>
        <v/>
      </c>
      <c r="F118" s="18" t="str">
        <f aca="false">4_Scorer_C!G118</f>
        <v/>
      </c>
      <c r="G118" s="18" t="str">
        <f aca="false">IF(COUNT(D118:F118)=3,AVERAGE(D118:F118),"")</f>
        <v/>
      </c>
      <c r="H118" s="18" t="str">
        <f aca="false">IF(COUNT(D118:F118)=3,MAX(D118:F118)-MIN(D118:F118),"")</f>
        <v/>
      </c>
      <c r="I118" s="18" t="str">
        <f aca="false">IF(H118="","",IF(H118&gt;1,"RECONCILE","OK"))</f>
        <v/>
      </c>
      <c r="J118" s="18" t="str">
        <f aca="false">IF(G118="","",G118)</f>
        <v/>
      </c>
    </row>
    <row r="119" customFormat="false" ht="15" hidden="false" customHeight="false" outlineLevel="0" collapsed="false">
      <c r="A119" s="18" t="s">
        <v>180</v>
      </c>
      <c r="B119" s="18" t="n">
        <v>3</v>
      </c>
      <c r="C119" s="18" t="s">
        <v>312</v>
      </c>
      <c r="D119" s="18" t="str">
        <f aca="false">4_Scorer_A!G119</f>
        <v/>
      </c>
      <c r="E119" s="18" t="str">
        <f aca="false">4_Scorer_B!G119</f>
        <v/>
      </c>
      <c r="F119" s="18" t="str">
        <f aca="false">4_Scorer_C!G119</f>
        <v/>
      </c>
      <c r="G119" s="18" t="str">
        <f aca="false">IF(COUNT(D119:F119)=3,AVERAGE(D119:F119),"")</f>
        <v/>
      </c>
      <c r="H119" s="18" t="str">
        <f aca="false">IF(COUNT(D119:F119)=3,MAX(D119:F119)-MIN(D119:F119),"")</f>
        <v/>
      </c>
      <c r="I119" s="18" t="str">
        <f aca="false">IF(H119="","",IF(H119&gt;1,"RECONCILE","OK"))</f>
        <v/>
      </c>
      <c r="J119" s="18" t="str">
        <f aca="false">IF(G119="","",G119)</f>
        <v/>
      </c>
    </row>
    <row r="120" customFormat="false" ht="15" hidden="false" customHeight="false" outlineLevel="0" collapsed="false">
      <c r="A120" s="18" t="s">
        <v>180</v>
      </c>
      <c r="B120" s="18" t="n">
        <v>3</v>
      </c>
      <c r="C120" s="18" t="s">
        <v>313</v>
      </c>
      <c r="D120" s="18" t="str">
        <f aca="false">4_Scorer_A!G120</f>
        <v/>
      </c>
      <c r="E120" s="18" t="str">
        <f aca="false">4_Scorer_B!G120</f>
        <v/>
      </c>
      <c r="F120" s="18" t="str">
        <f aca="false">4_Scorer_C!G120</f>
        <v/>
      </c>
      <c r="G120" s="18" t="str">
        <f aca="false">IF(COUNT(D120:F120)=3,AVERAGE(D120:F120),"")</f>
        <v/>
      </c>
      <c r="H120" s="18" t="str">
        <f aca="false">IF(COUNT(D120:F120)=3,MAX(D120:F120)-MIN(D120:F120),"")</f>
        <v/>
      </c>
      <c r="I120" s="18" t="str">
        <f aca="false">IF(H120="","",IF(H120&gt;1,"RECONCILE","OK"))</f>
        <v/>
      </c>
      <c r="J120" s="18" t="str">
        <f aca="false">IF(G120="","",G120)</f>
        <v/>
      </c>
    </row>
    <row r="121" customFormat="false" ht="15" hidden="false" customHeight="false" outlineLevel="0" collapsed="false">
      <c r="A121" s="18" t="s">
        <v>180</v>
      </c>
      <c r="B121" s="18" t="n">
        <v>3</v>
      </c>
      <c r="C121" s="18" t="s">
        <v>314</v>
      </c>
      <c r="D121" s="18" t="str">
        <f aca="false">4_Scorer_A!G121</f>
        <v/>
      </c>
      <c r="E121" s="18" t="str">
        <f aca="false">4_Scorer_B!G121</f>
        <v/>
      </c>
      <c r="F121" s="18" t="str">
        <f aca="false">4_Scorer_C!G121</f>
        <v/>
      </c>
      <c r="G121" s="18" t="str">
        <f aca="false">IF(COUNT(D121:F121)=3,AVERAGE(D121:F121),"")</f>
        <v/>
      </c>
      <c r="H121" s="18" t="str">
        <f aca="false">IF(COUNT(D121:F121)=3,MAX(D121:F121)-MIN(D121:F121),"")</f>
        <v/>
      </c>
      <c r="I121" s="18" t="str">
        <f aca="false">IF(H121="","",IF(H121&gt;1,"RECONCILE","OK"))</f>
        <v/>
      </c>
      <c r="J121" s="18" t="str">
        <f aca="false">IF(G121="","",G121)</f>
        <v/>
      </c>
    </row>
    <row r="122" customFormat="false" ht="15" hidden="false" customHeight="false" outlineLevel="0" collapsed="false">
      <c r="A122" s="18" t="s">
        <v>184</v>
      </c>
      <c r="B122" s="18" t="n">
        <v>4</v>
      </c>
      <c r="C122" s="18" t="s">
        <v>311</v>
      </c>
      <c r="D122" s="18" t="str">
        <f aca="false">4_Scorer_A!G122</f>
        <v/>
      </c>
      <c r="E122" s="18" t="str">
        <f aca="false">4_Scorer_B!G122</f>
        <v/>
      </c>
      <c r="F122" s="18" t="str">
        <f aca="false">4_Scorer_C!G122</f>
        <v/>
      </c>
      <c r="G122" s="18" t="str">
        <f aca="false">IF(COUNT(D122:F122)=3,AVERAGE(D122:F122),"")</f>
        <v/>
      </c>
      <c r="H122" s="18" t="str">
        <f aca="false">IF(COUNT(D122:F122)=3,MAX(D122:F122)-MIN(D122:F122),"")</f>
        <v/>
      </c>
      <c r="I122" s="18" t="str">
        <f aca="false">IF(H122="","",IF(H122&gt;1,"RECONCILE","OK"))</f>
        <v/>
      </c>
      <c r="J122" s="18" t="str">
        <f aca="false">IF(G122="","",G122)</f>
        <v/>
      </c>
    </row>
    <row r="123" customFormat="false" ht="15" hidden="false" customHeight="false" outlineLevel="0" collapsed="false">
      <c r="A123" s="18" t="s">
        <v>184</v>
      </c>
      <c r="B123" s="18" t="n">
        <v>4</v>
      </c>
      <c r="C123" s="18" t="s">
        <v>312</v>
      </c>
      <c r="D123" s="18" t="str">
        <f aca="false">4_Scorer_A!G123</f>
        <v/>
      </c>
      <c r="E123" s="18" t="str">
        <f aca="false">4_Scorer_B!G123</f>
        <v/>
      </c>
      <c r="F123" s="18" t="str">
        <f aca="false">4_Scorer_C!G123</f>
        <v/>
      </c>
      <c r="G123" s="18" t="str">
        <f aca="false">IF(COUNT(D123:F123)=3,AVERAGE(D123:F123),"")</f>
        <v/>
      </c>
      <c r="H123" s="18" t="str">
        <f aca="false">IF(COUNT(D123:F123)=3,MAX(D123:F123)-MIN(D123:F123),"")</f>
        <v/>
      </c>
      <c r="I123" s="18" t="str">
        <f aca="false">IF(H123="","",IF(H123&gt;1,"RECONCILE","OK"))</f>
        <v/>
      </c>
      <c r="J123" s="18" t="str">
        <f aca="false">IF(G123="","",G123)</f>
        <v/>
      </c>
    </row>
    <row r="124" customFormat="false" ht="15" hidden="false" customHeight="false" outlineLevel="0" collapsed="false">
      <c r="A124" s="18" t="s">
        <v>184</v>
      </c>
      <c r="B124" s="18" t="n">
        <v>4</v>
      </c>
      <c r="C124" s="18" t="s">
        <v>313</v>
      </c>
      <c r="D124" s="18" t="str">
        <f aca="false">4_Scorer_A!G124</f>
        <v/>
      </c>
      <c r="E124" s="18" t="str">
        <f aca="false">4_Scorer_B!G124</f>
        <v/>
      </c>
      <c r="F124" s="18" t="str">
        <f aca="false">4_Scorer_C!G124</f>
        <v/>
      </c>
      <c r="G124" s="18" t="str">
        <f aca="false">IF(COUNT(D124:F124)=3,AVERAGE(D124:F124),"")</f>
        <v/>
      </c>
      <c r="H124" s="18" t="str">
        <f aca="false">IF(COUNT(D124:F124)=3,MAX(D124:F124)-MIN(D124:F124),"")</f>
        <v/>
      </c>
      <c r="I124" s="18" t="str">
        <f aca="false">IF(H124="","",IF(H124&gt;1,"RECONCILE","OK"))</f>
        <v/>
      </c>
      <c r="J124" s="18" t="str">
        <f aca="false">IF(G124="","",G124)</f>
        <v/>
      </c>
    </row>
    <row r="125" customFormat="false" ht="15" hidden="false" customHeight="false" outlineLevel="0" collapsed="false">
      <c r="A125" s="18" t="s">
        <v>184</v>
      </c>
      <c r="B125" s="18" t="n">
        <v>4</v>
      </c>
      <c r="C125" s="18" t="s">
        <v>314</v>
      </c>
      <c r="D125" s="18" t="str">
        <f aca="false">4_Scorer_A!G125</f>
        <v/>
      </c>
      <c r="E125" s="18" t="str">
        <f aca="false">4_Scorer_B!G125</f>
        <v/>
      </c>
      <c r="F125" s="18" t="str">
        <f aca="false">4_Scorer_C!G125</f>
        <v/>
      </c>
      <c r="G125" s="18" t="str">
        <f aca="false">IF(COUNT(D125:F125)=3,AVERAGE(D125:F125),"")</f>
        <v/>
      </c>
      <c r="H125" s="18" t="str">
        <f aca="false">IF(COUNT(D125:F125)=3,MAX(D125:F125)-MIN(D125:F125),"")</f>
        <v/>
      </c>
      <c r="I125" s="18" t="str">
        <f aca="false">IF(H125="","",IF(H125&gt;1,"RECONCILE","OK"))</f>
        <v/>
      </c>
      <c r="J125" s="18" t="str">
        <f aca="false">IF(G125="","",G125)</f>
        <v/>
      </c>
    </row>
    <row r="126" customFormat="false" ht="15" hidden="false" customHeight="false" outlineLevel="0" collapsed="false">
      <c r="A126" s="18" t="s">
        <v>189</v>
      </c>
      <c r="B126" s="18" t="n">
        <v>4</v>
      </c>
      <c r="C126" s="18" t="s">
        <v>311</v>
      </c>
      <c r="D126" s="18" t="str">
        <f aca="false">4_Scorer_A!G126</f>
        <v/>
      </c>
      <c r="E126" s="18" t="str">
        <f aca="false">4_Scorer_B!G126</f>
        <v/>
      </c>
      <c r="F126" s="18" t="str">
        <f aca="false">4_Scorer_C!G126</f>
        <v/>
      </c>
      <c r="G126" s="18" t="str">
        <f aca="false">IF(COUNT(D126:F126)=3,AVERAGE(D126:F126),"")</f>
        <v/>
      </c>
      <c r="H126" s="18" t="str">
        <f aca="false">IF(COUNT(D126:F126)=3,MAX(D126:F126)-MIN(D126:F126),"")</f>
        <v/>
      </c>
      <c r="I126" s="18" t="str">
        <f aca="false">IF(H126="","",IF(H126&gt;1,"RECONCILE","OK"))</f>
        <v/>
      </c>
      <c r="J126" s="18" t="str">
        <f aca="false">IF(G126="","",G126)</f>
        <v/>
      </c>
    </row>
    <row r="127" customFormat="false" ht="15" hidden="false" customHeight="false" outlineLevel="0" collapsed="false">
      <c r="A127" s="18" t="s">
        <v>189</v>
      </c>
      <c r="B127" s="18" t="n">
        <v>4</v>
      </c>
      <c r="C127" s="18" t="s">
        <v>312</v>
      </c>
      <c r="D127" s="18" t="str">
        <f aca="false">4_Scorer_A!G127</f>
        <v/>
      </c>
      <c r="E127" s="18" t="str">
        <f aca="false">4_Scorer_B!G127</f>
        <v/>
      </c>
      <c r="F127" s="18" t="str">
        <f aca="false">4_Scorer_C!G127</f>
        <v/>
      </c>
      <c r="G127" s="18" t="str">
        <f aca="false">IF(COUNT(D127:F127)=3,AVERAGE(D127:F127),"")</f>
        <v/>
      </c>
      <c r="H127" s="18" t="str">
        <f aca="false">IF(COUNT(D127:F127)=3,MAX(D127:F127)-MIN(D127:F127),"")</f>
        <v/>
      </c>
      <c r="I127" s="18" t="str">
        <f aca="false">IF(H127="","",IF(H127&gt;1,"RECONCILE","OK"))</f>
        <v/>
      </c>
      <c r="J127" s="18" t="str">
        <f aca="false">IF(G127="","",G127)</f>
        <v/>
      </c>
    </row>
    <row r="128" customFormat="false" ht="15" hidden="false" customHeight="false" outlineLevel="0" collapsed="false">
      <c r="A128" s="18" t="s">
        <v>189</v>
      </c>
      <c r="B128" s="18" t="n">
        <v>4</v>
      </c>
      <c r="C128" s="18" t="s">
        <v>313</v>
      </c>
      <c r="D128" s="18" t="str">
        <f aca="false">4_Scorer_A!G128</f>
        <v/>
      </c>
      <c r="E128" s="18" t="str">
        <f aca="false">4_Scorer_B!G128</f>
        <v/>
      </c>
      <c r="F128" s="18" t="str">
        <f aca="false">4_Scorer_C!G128</f>
        <v/>
      </c>
      <c r="G128" s="18" t="str">
        <f aca="false">IF(COUNT(D128:F128)=3,AVERAGE(D128:F128),"")</f>
        <v/>
      </c>
      <c r="H128" s="18" t="str">
        <f aca="false">IF(COUNT(D128:F128)=3,MAX(D128:F128)-MIN(D128:F128),"")</f>
        <v/>
      </c>
      <c r="I128" s="18" t="str">
        <f aca="false">IF(H128="","",IF(H128&gt;1,"RECONCILE","OK"))</f>
        <v/>
      </c>
      <c r="J128" s="18" t="str">
        <f aca="false">IF(G128="","",G128)</f>
        <v/>
      </c>
    </row>
    <row r="129" customFormat="false" ht="15" hidden="false" customHeight="false" outlineLevel="0" collapsed="false">
      <c r="A129" s="18" t="s">
        <v>189</v>
      </c>
      <c r="B129" s="18" t="n">
        <v>4</v>
      </c>
      <c r="C129" s="18" t="s">
        <v>314</v>
      </c>
      <c r="D129" s="18" t="str">
        <f aca="false">4_Scorer_A!G129</f>
        <v/>
      </c>
      <c r="E129" s="18" t="str">
        <f aca="false">4_Scorer_B!G129</f>
        <v/>
      </c>
      <c r="F129" s="18" t="str">
        <f aca="false">4_Scorer_C!G129</f>
        <v/>
      </c>
      <c r="G129" s="18" t="str">
        <f aca="false">IF(COUNT(D129:F129)=3,AVERAGE(D129:F129),"")</f>
        <v/>
      </c>
      <c r="H129" s="18" t="str">
        <f aca="false">IF(COUNT(D129:F129)=3,MAX(D129:F129)-MIN(D129:F129),"")</f>
        <v/>
      </c>
      <c r="I129" s="18" t="str">
        <f aca="false">IF(H129="","",IF(H129&gt;1,"RECONCILE","OK"))</f>
        <v/>
      </c>
      <c r="J129" s="18" t="str">
        <f aca="false">IF(G129="","",G129)</f>
        <v/>
      </c>
    </row>
    <row r="130" customFormat="false" ht="15" hidden="false" customHeight="false" outlineLevel="0" collapsed="false">
      <c r="A130" s="18" t="s">
        <v>193</v>
      </c>
      <c r="B130" s="18" t="n">
        <v>4</v>
      </c>
      <c r="C130" s="18" t="s">
        <v>311</v>
      </c>
      <c r="D130" s="18" t="str">
        <f aca="false">4_Scorer_A!G130</f>
        <v/>
      </c>
      <c r="E130" s="18" t="str">
        <f aca="false">4_Scorer_B!G130</f>
        <v/>
      </c>
      <c r="F130" s="18" t="str">
        <f aca="false">4_Scorer_C!G130</f>
        <v/>
      </c>
      <c r="G130" s="18" t="str">
        <f aca="false">IF(COUNT(D130:F130)=3,AVERAGE(D130:F130),"")</f>
        <v/>
      </c>
      <c r="H130" s="18" t="str">
        <f aca="false">IF(COUNT(D130:F130)=3,MAX(D130:F130)-MIN(D130:F130),"")</f>
        <v/>
      </c>
      <c r="I130" s="18" t="str">
        <f aca="false">IF(H130="","",IF(H130&gt;1,"RECONCILE","OK"))</f>
        <v/>
      </c>
      <c r="J130" s="18" t="str">
        <f aca="false">IF(G130="","",G130)</f>
        <v/>
      </c>
    </row>
    <row r="131" customFormat="false" ht="15" hidden="false" customHeight="false" outlineLevel="0" collapsed="false">
      <c r="A131" s="18" t="s">
        <v>193</v>
      </c>
      <c r="B131" s="18" t="n">
        <v>4</v>
      </c>
      <c r="C131" s="18" t="s">
        <v>312</v>
      </c>
      <c r="D131" s="18" t="str">
        <f aca="false">4_Scorer_A!G131</f>
        <v/>
      </c>
      <c r="E131" s="18" t="str">
        <f aca="false">4_Scorer_B!G131</f>
        <v/>
      </c>
      <c r="F131" s="18" t="str">
        <f aca="false">4_Scorer_C!G131</f>
        <v/>
      </c>
      <c r="G131" s="18" t="str">
        <f aca="false">IF(COUNT(D131:F131)=3,AVERAGE(D131:F131),"")</f>
        <v/>
      </c>
      <c r="H131" s="18" t="str">
        <f aca="false">IF(COUNT(D131:F131)=3,MAX(D131:F131)-MIN(D131:F131),"")</f>
        <v/>
      </c>
      <c r="I131" s="18" t="str">
        <f aca="false">IF(H131="","",IF(H131&gt;1,"RECONCILE","OK"))</f>
        <v/>
      </c>
      <c r="J131" s="18" t="str">
        <f aca="false">IF(G131="","",G131)</f>
        <v/>
      </c>
    </row>
    <row r="132" customFormat="false" ht="15" hidden="false" customHeight="false" outlineLevel="0" collapsed="false">
      <c r="A132" s="18" t="s">
        <v>193</v>
      </c>
      <c r="B132" s="18" t="n">
        <v>4</v>
      </c>
      <c r="C132" s="18" t="s">
        <v>313</v>
      </c>
      <c r="D132" s="18" t="str">
        <f aca="false">4_Scorer_A!G132</f>
        <v/>
      </c>
      <c r="E132" s="18" t="str">
        <f aca="false">4_Scorer_B!G132</f>
        <v/>
      </c>
      <c r="F132" s="18" t="str">
        <f aca="false">4_Scorer_C!G132</f>
        <v/>
      </c>
      <c r="G132" s="18" t="str">
        <f aca="false">IF(COUNT(D132:F132)=3,AVERAGE(D132:F132),"")</f>
        <v/>
      </c>
      <c r="H132" s="18" t="str">
        <f aca="false">IF(COUNT(D132:F132)=3,MAX(D132:F132)-MIN(D132:F132),"")</f>
        <v/>
      </c>
      <c r="I132" s="18" t="str">
        <f aca="false">IF(H132="","",IF(H132&gt;1,"RECONCILE","OK"))</f>
        <v/>
      </c>
      <c r="J132" s="18" t="str">
        <f aca="false">IF(G132="","",G132)</f>
        <v/>
      </c>
    </row>
    <row r="133" customFormat="false" ht="15" hidden="false" customHeight="false" outlineLevel="0" collapsed="false">
      <c r="A133" s="18" t="s">
        <v>193</v>
      </c>
      <c r="B133" s="18" t="n">
        <v>4</v>
      </c>
      <c r="C133" s="18" t="s">
        <v>314</v>
      </c>
      <c r="D133" s="18" t="str">
        <f aca="false">4_Scorer_A!G133</f>
        <v/>
      </c>
      <c r="E133" s="18" t="str">
        <f aca="false">4_Scorer_B!G133</f>
        <v/>
      </c>
      <c r="F133" s="18" t="str">
        <f aca="false">4_Scorer_C!G133</f>
        <v/>
      </c>
      <c r="G133" s="18" t="str">
        <f aca="false">IF(COUNT(D133:F133)=3,AVERAGE(D133:F133),"")</f>
        <v/>
      </c>
      <c r="H133" s="18" t="str">
        <f aca="false">IF(COUNT(D133:F133)=3,MAX(D133:F133)-MIN(D133:F133),"")</f>
        <v/>
      </c>
      <c r="I133" s="18" t="str">
        <f aca="false">IF(H133="","",IF(H133&gt;1,"RECONCILE","OK"))</f>
        <v/>
      </c>
      <c r="J133" s="18" t="str">
        <f aca="false">IF(G133="","",G133)</f>
        <v/>
      </c>
    </row>
    <row r="134" customFormat="false" ht="15" hidden="false" customHeight="false" outlineLevel="0" collapsed="false">
      <c r="A134" s="18" t="s">
        <v>197</v>
      </c>
      <c r="B134" s="18" t="n">
        <v>4</v>
      </c>
      <c r="C134" s="18" t="s">
        <v>311</v>
      </c>
      <c r="D134" s="18" t="str">
        <f aca="false">4_Scorer_A!G134</f>
        <v/>
      </c>
      <c r="E134" s="18" t="str">
        <f aca="false">4_Scorer_B!G134</f>
        <v/>
      </c>
      <c r="F134" s="18" t="str">
        <f aca="false">4_Scorer_C!G134</f>
        <v/>
      </c>
      <c r="G134" s="18" t="str">
        <f aca="false">IF(COUNT(D134:F134)=3,AVERAGE(D134:F134),"")</f>
        <v/>
      </c>
      <c r="H134" s="18" t="str">
        <f aca="false">IF(COUNT(D134:F134)=3,MAX(D134:F134)-MIN(D134:F134),"")</f>
        <v/>
      </c>
      <c r="I134" s="18" t="str">
        <f aca="false">IF(H134="","",IF(H134&gt;1,"RECONCILE","OK"))</f>
        <v/>
      </c>
      <c r="J134" s="18" t="str">
        <f aca="false">IF(G134="","",G134)</f>
        <v/>
      </c>
    </row>
    <row r="135" customFormat="false" ht="15" hidden="false" customHeight="false" outlineLevel="0" collapsed="false">
      <c r="A135" s="18" t="s">
        <v>197</v>
      </c>
      <c r="B135" s="18" t="n">
        <v>4</v>
      </c>
      <c r="C135" s="18" t="s">
        <v>312</v>
      </c>
      <c r="D135" s="18" t="str">
        <f aca="false">4_Scorer_A!G135</f>
        <v/>
      </c>
      <c r="E135" s="18" t="str">
        <f aca="false">4_Scorer_B!G135</f>
        <v/>
      </c>
      <c r="F135" s="18" t="str">
        <f aca="false">4_Scorer_C!G135</f>
        <v/>
      </c>
      <c r="G135" s="18" t="str">
        <f aca="false">IF(COUNT(D135:F135)=3,AVERAGE(D135:F135),"")</f>
        <v/>
      </c>
      <c r="H135" s="18" t="str">
        <f aca="false">IF(COUNT(D135:F135)=3,MAX(D135:F135)-MIN(D135:F135),"")</f>
        <v/>
      </c>
      <c r="I135" s="18" t="str">
        <f aca="false">IF(H135="","",IF(H135&gt;1,"RECONCILE","OK"))</f>
        <v/>
      </c>
      <c r="J135" s="18" t="str">
        <f aca="false">IF(G135="","",G135)</f>
        <v/>
      </c>
    </row>
    <row r="136" customFormat="false" ht="15" hidden="false" customHeight="false" outlineLevel="0" collapsed="false">
      <c r="A136" s="18" t="s">
        <v>197</v>
      </c>
      <c r="B136" s="18" t="n">
        <v>4</v>
      </c>
      <c r="C136" s="18" t="s">
        <v>313</v>
      </c>
      <c r="D136" s="18" t="str">
        <f aca="false">4_Scorer_A!G136</f>
        <v/>
      </c>
      <c r="E136" s="18" t="str">
        <f aca="false">4_Scorer_B!G136</f>
        <v/>
      </c>
      <c r="F136" s="18" t="str">
        <f aca="false">4_Scorer_C!G136</f>
        <v/>
      </c>
      <c r="G136" s="18" t="str">
        <f aca="false">IF(COUNT(D136:F136)=3,AVERAGE(D136:F136),"")</f>
        <v/>
      </c>
      <c r="H136" s="18" t="str">
        <f aca="false">IF(COUNT(D136:F136)=3,MAX(D136:F136)-MIN(D136:F136),"")</f>
        <v/>
      </c>
      <c r="I136" s="18" t="str">
        <f aca="false">IF(H136="","",IF(H136&gt;1,"RECONCILE","OK"))</f>
        <v/>
      </c>
      <c r="J136" s="18" t="str">
        <f aca="false">IF(G136="","",G136)</f>
        <v/>
      </c>
    </row>
    <row r="137" customFormat="false" ht="15" hidden="false" customHeight="false" outlineLevel="0" collapsed="false">
      <c r="A137" s="18" t="s">
        <v>197</v>
      </c>
      <c r="B137" s="18" t="n">
        <v>4</v>
      </c>
      <c r="C137" s="18" t="s">
        <v>314</v>
      </c>
      <c r="D137" s="18" t="str">
        <f aca="false">4_Scorer_A!G137</f>
        <v/>
      </c>
      <c r="E137" s="18" t="str">
        <f aca="false">4_Scorer_B!G137</f>
        <v/>
      </c>
      <c r="F137" s="18" t="str">
        <f aca="false">4_Scorer_C!G137</f>
        <v/>
      </c>
      <c r="G137" s="18" t="str">
        <f aca="false">IF(COUNT(D137:F137)=3,AVERAGE(D137:F137),"")</f>
        <v/>
      </c>
      <c r="H137" s="18" t="str">
        <f aca="false">IF(COUNT(D137:F137)=3,MAX(D137:F137)-MIN(D137:F137),"")</f>
        <v/>
      </c>
      <c r="I137" s="18" t="str">
        <f aca="false">IF(H137="","",IF(H137&gt;1,"RECONCILE","OK"))</f>
        <v/>
      </c>
      <c r="J137" s="18" t="str">
        <f aca="false">IF(G137="","",G137)</f>
        <v/>
      </c>
    </row>
    <row r="138" customFormat="false" ht="15" hidden="false" customHeight="false" outlineLevel="0" collapsed="false">
      <c r="A138" s="18" t="s">
        <v>201</v>
      </c>
      <c r="B138" s="18" t="n">
        <v>4</v>
      </c>
      <c r="C138" s="18" t="s">
        <v>311</v>
      </c>
      <c r="D138" s="18" t="str">
        <f aca="false">4_Scorer_A!G138</f>
        <v/>
      </c>
      <c r="E138" s="18" t="str">
        <f aca="false">4_Scorer_B!G138</f>
        <v/>
      </c>
      <c r="F138" s="18" t="str">
        <f aca="false">4_Scorer_C!G138</f>
        <v/>
      </c>
      <c r="G138" s="18" t="str">
        <f aca="false">IF(COUNT(D138:F138)=3,AVERAGE(D138:F138),"")</f>
        <v/>
      </c>
      <c r="H138" s="18" t="str">
        <f aca="false">IF(COUNT(D138:F138)=3,MAX(D138:F138)-MIN(D138:F138),"")</f>
        <v/>
      </c>
      <c r="I138" s="18" t="str">
        <f aca="false">IF(H138="","",IF(H138&gt;1,"RECONCILE","OK"))</f>
        <v/>
      </c>
      <c r="J138" s="18" t="str">
        <f aca="false">IF(G138="","",G138)</f>
        <v/>
      </c>
    </row>
    <row r="139" customFormat="false" ht="15" hidden="false" customHeight="false" outlineLevel="0" collapsed="false">
      <c r="A139" s="18" t="s">
        <v>201</v>
      </c>
      <c r="B139" s="18" t="n">
        <v>4</v>
      </c>
      <c r="C139" s="18" t="s">
        <v>312</v>
      </c>
      <c r="D139" s="18" t="str">
        <f aca="false">4_Scorer_A!G139</f>
        <v/>
      </c>
      <c r="E139" s="18" t="str">
        <f aca="false">4_Scorer_B!G139</f>
        <v/>
      </c>
      <c r="F139" s="18" t="str">
        <f aca="false">4_Scorer_C!G139</f>
        <v/>
      </c>
      <c r="G139" s="18" t="str">
        <f aca="false">IF(COUNT(D139:F139)=3,AVERAGE(D139:F139),"")</f>
        <v/>
      </c>
      <c r="H139" s="18" t="str">
        <f aca="false">IF(COUNT(D139:F139)=3,MAX(D139:F139)-MIN(D139:F139),"")</f>
        <v/>
      </c>
      <c r="I139" s="18" t="str">
        <f aca="false">IF(H139="","",IF(H139&gt;1,"RECONCILE","OK"))</f>
        <v/>
      </c>
      <c r="J139" s="18" t="str">
        <f aca="false">IF(G139="","",G139)</f>
        <v/>
      </c>
    </row>
    <row r="140" customFormat="false" ht="15" hidden="false" customHeight="false" outlineLevel="0" collapsed="false">
      <c r="A140" s="18" t="s">
        <v>201</v>
      </c>
      <c r="B140" s="18" t="n">
        <v>4</v>
      </c>
      <c r="C140" s="18" t="s">
        <v>313</v>
      </c>
      <c r="D140" s="18" t="str">
        <f aca="false">4_Scorer_A!G140</f>
        <v/>
      </c>
      <c r="E140" s="18" t="str">
        <f aca="false">4_Scorer_B!G140</f>
        <v/>
      </c>
      <c r="F140" s="18" t="str">
        <f aca="false">4_Scorer_C!G140</f>
        <v/>
      </c>
      <c r="G140" s="18" t="str">
        <f aca="false">IF(COUNT(D140:F140)=3,AVERAGE(D140:F140),"")</f>
        <v/>
      </c>
      <c r="H140" s="18" t="str">
        <f aca="false">IF(COUNT(D140:F140)=3,MAX(D140:F140)-MIN(D140:F140),"")</f>
        <v/>
      </c>
      <c r="I140" s="18" t="str">
        <f aca="false">IF(H140="","",IF(H140&gt;1,"RECONCILE","OK"))</f>
        <v/>
      </c>
      <c r="J140" s="18" t="str">
        <f aca="false">IF(G140="","",G140)</f>
        <v/>
      </c>
    </row>
    <row r="141" customFormat="false" ht="15" hidden="false" customHeight="false" outlineLevel="0" collapsed="false">
      <c r="A141" s="18" t="s">
        <v>201</v>
      </c>
      <c r="B141" s="18" t="n">
        <v>4</v>
      </c>
      <c r="C141" s="18" t="s">
        <v>314</v>
      </c>
      <c r="D141" s="18" t="str">
        <f aca="false">4_Scorer_A!G141</f>
        <v/>
      </c>
      <c r="E141" s="18" t="str">
        <f aca="false">4_Scorer_B!G141</f>
        <v/>
      </c>
      <c r="F141" s="18" t="str">
        <f aca="false">4_Scorer_C!G141</f>
        <v/>
      </c>
      <c r="G141" s="18" t="str">
        <f aca="false">IF(COUNT(D141:F141)=3,AVERAGE(D141:F141),"")</f>
        <v/>
      </c>
      <c r="H141" s="18" t="str">
        <f aca="false">IF(COUNT(D141:F141)=3,MAX(D141:F141)-MIN(D141:F141),"")</f>
        <v/>
      </c>
      <c r="I141" s="18" t="str">
        <f aca="false">IF(H141="","",IF(H141&gt;1,"RECONCILE","OK"))</f>
        <v/>
      </c>
      <c r="J141" s="18" t="str">
        <f aca="false">IF(G141="","",G141)</f>
        <v/>
      </c>
    </row>
    <row r="142" customFormat="false" ht="15" hidden="false" customHeight="false" outlineLevel="0" collapsed="false">
      <c r="A142" s="18" t="s">
        <v>205</v>
      </c>
      <c r="B142" s="18" t="n">
        <v>4</v>
      </c>
      <c r="C142" s="18" t="s">
        <v>311</v>
      </c>
      <c r="D142" s="18" t="str">
        <f aca="false">4_Scorer_A!G142</f>
        <v/>
      </c>
      <c r="E142" s="18" t="str">
        <f aca="false">4_Scorer_B!G142</f>
        <v/>
      </c>
      <c r="F142" s="18" t="str">
        <f aca="false">4_Scorer_C!G142</f>
        <v/>
      </c>
      <c r="G142" s="18" t="str">
        <f aca="false">IF(COUNT(D142:F142)=3,AVERAGE(D142:F142),"")</f>
        <v/>
      </c>
      <c r="H142" s="18" t="str">
        <f aca="false">IF(COUNT(D142:F142)=3,MAX(D142:F142)-MIN(D142:F142),"")</f>
        <v/>
      </c>
      <c r="I142" s="18" t="str">
        <f aca="false">IF(H142="","",IF(H142&gt;1,"RECONCILE","OK"))</f>
        <v/>
      </c>
      <c r="J142" s="18" t="str">
        <f aca="false">IF(G142="","",G142)</f>
        <v/>
      </c>
    </row>
    <row r="143" customFormat="false" ht="15" hidden="false" customHeight="false" outlineLevel="0" collapsed="false">
      <c r="A143" s="18" t="s">
        <v>205</v>
      </c>
      <c r="B143" s="18" t="n">
        <v>4</v>
      </c>
      <c r="C143" s="18" t="s">
        <v>312</v>
      </c>
      <c r="D143" s="18" t="str">
        <f aca="false">4_Scorer_A!G143</f>
        <v/>
      </c>
      <c r="E143" s="18" t="str">
        <f aca="false">4_Scorer_B!G143</f>
        <v/>
      </c>
      <c r="F143" s="18" t="str">
        <f aca="false">4_Scorer_C!G143</f>
        <v/>
      </c>
      <c r="G143" s="18" t="str">
        <f aca="false">IF(COUNT(D143:F143)=3,AVERAGE(D143:F143),"")</f>
        <v/>
      </c>
      <c r="H143" s="18" t="str">
        <f aca="false">IF(COUNT(D143:F143)=3,MAX(D143:F143)-MIN(D143:F143),"")</f>
        <v/>
      </c>
      <c r="I143" s="18" t="str">
        <f aca="false">IF(H143="","",IF(H143&gt;1,"RECONCILE","OK"))</f>
        <v/>
      </c>
      <c r="J143" s="18" t="str">
        <f aca="false">IF(G143="","",G143)</f>
        <v/>
      </c>
    </row>
    <row r="144" customFormat="false" ht="15" hidden="false" customHeight="false" outlineLevel="0" collapsed="false">
      <c r="A144" s="18" t="s">
        <v>205</v>
      </c>
      <c r="B144" s="18" t="n">
        <v>4</v>
      </c>
      <c r="C144" s="18" t="s">
        <v>313</v>
      </c>
      <c r="D144" s="18" t="str">
        <f aca="false">4_Scorer_A!G144</f>
        <v/>
      </c>
      <c r="E144" s="18" t="str">
        <f aca="false">4_Scorer_B!G144</f>
        <v/>
      </c>
      <c r="F144" s="18" t="str">
        <f aca="false">4_Scorer_C!G144</f>
        <v/>
      </c>
      <c r="G144" s="18" t="str">
        <f aca="false">IF(COUNT(D144:F144)=3,AVERAGE(D144:F144),"")</f>
        <v/>
      </c>
      <c r="H144" s="18" t="str">
        <f aca="false">IF(COUNT(D144:F144)=3,MAX(D144:F144)-MIN(D144:F144),"")</f>
        <v/>
      </c>
      <c r="I144" s="18" t="str">
        <f aca="false">IF(H144="","",IF(H144&gt;1,"RECONCILE","OK"))</f>
        <v/>
      </c>
      <c r="J144" s="18" t="str">
        <f aca="false">IF(G144="","",G144)</f>
        <v/>
      </c>
    </row>
    <row r="145" customFormat="false" ht="15" hidden="false" customHeight="false" outlineLevel="0" collapsed="false">
      <c r="A145" s="18" t="s">
        <v>205</v>
      </c>
      <c r="B145" s="18" t="n">
        <v>4</v>
      </c>
      <c r="C145" s="18" t="s">
        <v>314</v>
      </c>
      <c r="D145" s="18" t="str">
        <f aca="false">4_Scorer_A!G145</f>
        <v/>
      </c>
      <c r="E145" s="18" t="str">
        <f aca="false">4_Scorer_B!G145</f>
        <v/>
      </c>
      <c r="F145" s="18" t="str">
        <f aca="false">4_Scorer_C!G145</f>
        <v/>
      </c>
      <c r="G145" s="18" t="str">
        <f aca="false">IF(COUNT(D145:F145)=3,AVERAGE(D145:F145),"")</f>
        <v/>
      </c>
      <c r="H145" s="18" t="str">
        <f aca="false">IF(COUNT(D145:F145)=3,MAX(D145:F145)-MIN(D145:F145),"")</f>
        <v/>
      </c>
      <c r="I145" s="18" t="str">
        <f aca="false">IF(H145="","",IF(H145&gt;1,"RECONCILE","OK"))</f>
        <v/>
      </c>
      <c r="J145" s="18" t="str">
        <f aca="false">IF(G145="","",G145)</f>
        <v/>
      </c>
    </row>
    <row r="146" customFormat="false" ht="15" hidden="false" customHeight="false" outlineLevel="0" collapsed="false">
      <c r="A146" s="18" t="s">
        <v>209</v>
      </c>
      <c r="B146" s="18" t="n">
        <v>4</v>
      </c>
      <c r="C146" s="18" t="s">
        <v>311</v>
      </c>
      <c r="D146" s="18" t="str">
        <f aca="false">4_Scorer_A!G146</f>
        <v/>
      </c>
      <c r="E146" s="18" t="str">
        <f aca="false">4_Scorer_B!G146</f>
        <v/>
      </c>
      <c r="F146" s="18" t="str">
        <f aca="false">4_Scorer_C!G146</f>
        <v/>
      </c>
      <c r="G146" s="18" t="str">
        <f aca="false">IF(COUNT(D146:F146)=3,AVERAGE(D146:F146),"")</f>
        <v/>
      </c>
      <c r="H146" s="18" t="str">
        <f aca="false">IF(COUNT(D146:F146)=3,MAX(D146:F146)-MIN(D146:F146),"")</f>
        <v/>
      </c>
      <c r="I146" s="18" t="str">
        <f aca="false">IF(H146="","",IF(H146&gt;1,"RECONCILE","OK"))</f>
        <v/>
      </c>
      <c r="J146" s="18" t="str">
        <f aca="false">IF(G146="","",G146)</f>
        <v/>
      </c>
    </row>
    <row r="147" customFormat="false" ht="15" hidden="false" customHeight="false" outlineLevel="0" collapsed="false">
      <c r="A147" s="18" t="s">
        <v>209</v>
      </c>
      <c r="B147" s="18" t="n">
        <v>4</v>
      </c>
      <c r="C147" s="18" t="s">
        <v>312</v>
      </c>
      <c r="D147" s="18" t="str">
        <f aca="false">4_Scorer_A!G147</f>
        <v/>
      </c>
      <c r="E147" s="18" t="str">
        <f aca="false">4_Scorer_B!G147</f>
        <v/>
      </c>
      <c r="F147" s="18" t="str">
        <f aca="false">4_Scorer_C!G147</f>
        <v/>
      </c>
      <c r="G147" s="18" t="str">
        <f aca="false">IF(COUNT(D147:F147)=3,AVERAGE(D147:F147),"")</f>
        <v/>
      </c>
      <c r="H147" s="18" t="str">
        <f aca="false">IF(COUNT(D147:F147)=3,MAX(D147:F147)-MIN(D147:F147),"")</f>
        <v/>
      </c>
      <c r="I147" s="18" t="str">
        <f aca="false">IF(H147="","",IF(H147&gt;1,"RECONCILE","OK"))</f>
        <v/>
      </c>
      <c r="J147" s="18" t="str">
        <f aca="false">IF(G147="","",G147)</f>
        <v/>
      </c>
    </row>
    <row r="148" customFormat="false" ht="15" hidden="false" customHeight="false" outlineLevel="0" collapsed="false">
      <c r="A148" s="18" t="s">
        <v>209</v>
      </c>
      <c r="B148" s="18" t="n">
        <v>4</v>
      </c>
      <c r="C148" s="18" t="s">
        <v>313</v>
      </c>
      <c r="D148" s="18" t="str">
        <f aca="false">4_Scorer_A!G148</f>
        <v/>
      </c>
      <c r="E148" s="18" t="str">
        <f aca="false">4_Scorer_B!G148</f>
        <v/>
      </c>
      <c r="F148" s="18" t="str">
        <f aca="false">4_Scorer_C!G148</f>
        <v/>
      </c>
      <c r="G148" s="18" t="str">
        <f aca="false">IF(COUNT(D148:F148)=3,AVERAGE(D148:F148),"")</f>
        <v/>
      </c>
      <c r="H148" s="18" t="str">
        <f aca="false">IF(COUNT(D148:F148)=3,MAX(D148:F148)-MIN(D148:F148),"")</f>
        <v/>
      </c>
      <c r="I148" s="18" t="str">
        <f aca="false">IF(H148="","",IF(H148&gt;1,"RECONCILE","OK"))</f>
        <v/>
      </c>
      <c r="J148" s="18" t="str">
        <f aca="false">IF(G148="","",G148)</f>
        <v/>
      </c>
    </row>
    <row r="149" customFormat="false" ht="15" hidden="false" customHeight="false" outlineLevel="0" collapsed="false">
      <c r="A149" s="18" t="s">
        <v>209</v>
      </c>
      <c r="B149" s="18" t="n">
        <v>4</v>
      </c>
      <c r="C149" s="18" t="s">
        <v>314</v>
      </c>
      <c r="D149" s="18" t="str">
        <f aca="false">4_Scorer_A!G149</f>
        <v/>
      </c>
      <c r="E149" s="18" t="str">
        <f aca="false">4_Scorer_B!G149</f>
        <v/>
      </c>
      <c r="F149" s="18" t="str">
        <f aca="false">4_Scorer_C!G149</f>
        <v/>
      </c>
      <c r="G149" s="18" t="str">
        <f aca="false">IF(COUNT(D149:F149)=3,AVERAGE(D149:F149),"")</f>
        <v/>
      </c>
      <c r="H149" s="18" t="str">
        <f aca="false">IF(COUNT(D149:F149)=3,MAX(D149:F149)-MIN(D149:F149),"")</f>
        <v/>
      </c>
      <c r="I149" s="18" t="str">
        <f aca="false">IF(H149="","",IF(H149&gt;1,"RECONCILE","OK"))</f>
        <v/>
      </c>
      <c r="J149" s="18" t="str">
        <f aca="false">IF(G149="","",G149)</f>
        <v/>
      </c>
    </row>
    <row r="150" customFormat="false" ht="15" hidden="false" customHeight="false" outlineLevel="0" collapsed="false">
      <c r="A150" s="18" t="s">
        <v>213</v>
      </c>
      <c r="B150" s="18" t="n">
        <v>4</v>
      </c>
      <c r="C150" s="18" t="s">
        <v>311</v>
      </c>
      <c r="D150" s="18" t="str">
        <f aca="false">4_Scorer_A!G150</f>
        <v/>
      </c>
      <c r="E150" s="18" t="str">
        <f aca="false">4_Scorer_B!G150</f>
        <v/>
      </c>
      <c r="F150" s="18" t="str">
        <f aca="false">4_Scorer_C!G150</f>
        <v/>
      </c>
      <c r="G150" s="18" t="str">
        <f aca="false">IF(COUNT(D150:F150)=3,AVERAGE(D150:F150),"")</f>
        <v/>
      </c>
      <c r="H150" s="18" t="str">
        <f aca="false">IF(COUNT(D150:F150)=3,MAX(D150:F150)-MIN(D150:F150),"")</f>
        <v/>
      </c>
      <c r="I150" s="18" t="str">
        <f aca="false">IF(H150="","",IF(H150&gt;1,"RECONCILE","OK"))</f>
        <v/>
      </c>
      <c r="J150" s="18" t="str">
        <f aca="false">IF(G150="","",G150)</f>
        <v/>
      </c>
    </row>
    <row r="151" customFormat="false" ht="15" hidden="false" customHeight="false" outlineLevel="0" collapsed="false">
      <c r="A151" s="18" t="s">
        <v>213</v>
      </c>
      <c r="B151" s="18" t="n">
        <v>4</v>
      </c>
      <c r="C151" s="18" t="s">
        <v>312</v>
      </c>
      <c r="D151" s="18" t="str">
        <f aca="false">4_Scorer_A!G151</f>
        <v/>
      </c>
      <c r="E151" s="18" t="str">
        <f aca="false">4_Scorer_B!G151</f>
        <v/>
      </c>
      <c r="F151" s="18" t="str">
        <f aca="false">4_Scorer_C!G151</f>
        <v/>
      </c>
      <c r="G151" s="18" t="str">
        <f aca="false">IF(COUNT(D151:F151)=3,AVERAGE(D151:F151),"")</f>
        <v/>
      </c>
      <c r="H151" s="18" t="str">
        <f aca="false">IF(COUNT(D151:F151)=3,MAX(D151:F151)-MIN(D151:F151),"")</f>
        <v/>
      </c>
      <c r="I151" s="18" t="str">
        <f aca="false">IF(H151="","",IF(H151&gt;1,"RECONCILE","OK"))</f>
        <v/>
      </c>
      <c r="J151" s="18" t="str">
        <f aca="false">IF(G151="","",G151)</f>
        <v/>
      </c>
    </row>
    <row r="152" customFormat="false" ht="15" hidden="false" customHeight="false" outlineLevel="0" collapsed="false">
      <c r="A152" s="18" t="s">
        <v>213</v>
      </c>
      <c r="B152" s="18" t="n">
        <v>4</v>
      </c>
      <c r="C152" s="18" t="s">
        <v>313</v>
      </c>
      <c r="D152" s="18" t="str">
        <f aca="false">4_Scorer_A!G152</f>
        <v/>
      </c>
      <c r="E152" s="18" t="str">
        <f aca="false">4_Scorer_B!G152</f>
        <v/>
      </c>
      <c r="F152" s="18" t="str">
        <f aca="false">4_Scorer_C!G152</f>
        <v/>
      </c>
      <c r="G152" s="18" t="str">
        <f aca="false">IF(COUNT(D152:F152)=3,AVERAGE(D152:F152),"")</f>
        <v/>
      </c>
      <c r="H152" s="18" t="str">
        <f aca="false">IF(COUNT(D152:F152)=3,MAX(D152:F152)-MIN(D152:F152),"")</f>
        <v/>
      </c>
      <c r="I152" s="18" t="str">
        <f aca="false">IF(H152="","",IF(H152&gt;1,"RECONCILE","OK"))</f>
        <v/>
      </c>
      <c r="J152" s="18" t="str">
        <f aca="false">IF(G152="","",G152)</f>
        <v/>
      </c>
    </row>
    <row r="153" customFormat="false" ht="15" hidden="false" customHeight="false" outlineLevel="0" collapsed="false">
      <c r="A153" s="18" t="s">
        <v>213</v>
      </c>
      <c r="B153" s="18" t="n">
        <v>4</v>
      </c>
      <c r="C153" s="18" t="s">
        <v>314</v>
      </c>
      <c r="D153" s="18" t="str">
        <f aca="false">4_Scorer_A!G153</f>
        <v/>
      </c>
      <c r="E153" s="18" t="str">
        <f aca="false">4_Scorer_B!G153</f>
        <v/>
      </c>
      <c r="F153" s="18" t="str">
        <f aca="false">4_Scorer_C!G153</f>
        <v/>
      </c>
      <c r="G153" s="18" t="str">
        <f aca="false">IF(COUNT(D153:F153)=3,AVERAGE(D153:F153),"")</f>
        <v/>
      </c>
      <c r="H153" s="18" t="str">
        <f aca="false">IF(COUNT(D153:F153)=3,MAX(D153:F153)-MIN(D153:F153),"")</f>
        <v/>
      </c>
      <c r="I153" s="18" t="str">
        <f aca="false">IF(H153="","",IF(H153&gt;1,"RECONCILE","OK"))</f>
        <v/>
      </c>
      <c r="J153" s="18" t="str">
        <f aca="false">IF(G153="","",G153)</f>
        <v/>
      </c>
    </row>
    <row r="154" customFormat="false" ht="15" hidden="false" customHeight="false" outlineLevel="0" collapsed="false">
      <c r="A154" s="18" t="s">
        <v>217</v>
      </c>
      <c r="B154" s="18" t="n">
        <v>4</v>
      </c>
      <c r="C154" s="18" t="s">
        <v>311</v>
      </c>
      <c r="D154" s="18" t="str">
        <f aca="false">4_Scorer_A!G154</f>
        <v/>
      </c>
      <c r="E154" s="18" t="str">
        <f aca="false">4_Scorer_B!G154</f>
        <v/>
      </c>
      <c r="F154" s="18" t="str">
        <f aca="false">4_Scorer_C!G154</f>
        <v/>
      </c>
      <c r="G154" s="18" t="str">
        <f aca="false">IF(COUNT(D154:F154)=3,AVERAGE(D154:F154),"")</f>
        <v/>
      </c>
      <c r="H154" s="18" t="str">
        <f aca="false">IF(COUNT(D154:F154)=3,MAX(D154:F154)-MIN(D154:F154),"")</f>
        <v/>
      </c>
      <c r="I154" s="18" t="str">
        <f aca="false">IF(H154="","",IF(H154&gt;1,"RECONCILE","OK"))</f>
        <v/>
      </c>
      <c r="J154" s="18" t="str">
        <f aca="false">IF(G154="","",G154)</f>
        <v/>
      </c>
    </row>
    <row r="155" customFormat="false" ht="15" hidden="false" customHeight="false" outlineLevel="0" collapsed="false">
      <c r="A155" s="18" t="s">
        <v>217</v>
      </c>
      <c r="B155" s="18" t="n">
        <v>4</v>
      </c>
      <c r="C155" s="18" t="s">
        <v>312</v>
      </c>
      <c r="D155" s="18" t="str">
        <f aca="false">4_Scorer_A!G155</f>
        <v/>
      </c>
      <c r="E155" s="18" t="str">
        <f aca="false">4_Scorer_B!G155</f>
        <v/>
      </c>
      <c r="F155" s="18" t="str">
        <f aca="false">4_Scorer_C!G155</f>
        <v/>
      </c>
      <c r="G155" s="18" t="str">
        <f aca="false">IF(COUNT(D155:F155)=3,AVERAGE(D155:F155),"")</f>
        <v/>
      </c>
      <c r="H155" s="18" t="str">
        <f aca="false">IF(COUNT(D155:F155)=3,MAX(D155:F155)-MIN(D155:F155),"")</f>
        <v/>
      </c>
      <c r="I155" s="18" t="str">
        <f aca="false">IF(H155="","",IF(H155&gt;1,"RECONCILE","OK"))</f>
        <v/>
      </c>
      <c r="J155" s="18" t="str">
        <f aca="false">IF(G155="","",G155)</f>
        <v/>
      </c>
    </row>
    <row r="156" customFormat="false" ht="15" hidden="false" customHeight="false" outlineLevel="0" collapsed="false">
      <c r="A156" s="18" t="s">
        <v>217</v>
      </c>
      <c r="B156" s="18" t="n">
        <v>4</v>
      </c>
      <c r="C156" s="18" t="s">
        <v>313</v>
      </c>
      <c r="D156" s="18" t="str">
        <f aca="false">4_Scorer_A!G156</f>
        <v/>
      </c>
      <c r="E156" s="18" t="str">
        <f aca="false">4_Scorer_B!G156</f>
        <v/>
      </c>
      <c r="F156" s="18" t="str">
        <f aca="false">4_Scorer_C!G156</f>
        <v/>
      </c>
      <c r="G156" s="18" t="str">
        <f aca="false">IF(COUNT(D156:F156)=3,AVERAGE(D156:F156),"")</f>
        <v/>
      </c>
      <c r="H156" s="18" t="str">
        <f aca="false">IF(COUNT(D156:F156)=3,MAX(D156:F156)-MIN(D156:F156),"")</f>
        <v/>
      </c>
      <c r="I156" s="18" t="str">
        <f aca="false">IF(H156="","",IF(H156&gt;1,"RECONCILE","OK"))</f>
        <v/>
      </c>
      <c r="J156" s="18" t="str">
        <f aca="false">IF(G156="","",G156)</f>
        <v/>
      </c>
    </row>
    <row r="157" customFormat="false" ht="15" hidden="false" customHeight="false" outlineLevel="0" collapsed="false">
      <c r="A157" s="18" t="s">
        <v>217</v>
      </c>
      <c r="B157" s="18" t="n">
        <v>4</v>
      </c>
      <c r="C157" s="18" t="s">
        <v>314</v>
      </c>
      <c r="D157" s="18" t="str">
        <f aca="false">4_Scorer_A!G157</f>
        <v/>
      </c>
      <c r="E157" s="18" t="str">
        <f aca="false">4_Scorer_B!G157</f>
        <v/>
      </c>
      <c r="F157" s="18" t="str">
        <f aca="false">4_Scorer_C!G157</f>
        <v/>
      </c>
      <c r="G157" s="18" t="str">
        <f aca="false">IF(COUNT(D157:F157)=3,AVERAGE(D157:F157),"")</f>
        <v/>
      </c>
      <c r="H157" s="18" t="str">
        <f aca="false">IF(COUNT(D157:F157)=3,MAX(D157:F157)-MIN(D157:F157),"")</f>
        <v/>
      </c>
      <c r="I157" s="18" t="str">
        <f aca="false">IF(H157="","",IF(H157&gt;1,"RECONCILE","OK"))</f>
        <v/>
      </c>
      <c r="J157" s="18" t="str">
        <f aca="false">IF(G157="","",G157)</f>
        <v/>
      </c>
    </row>
    <row r="158" customFormat="false" ht="15" hidden="false" customHeight="false" outlineLevel="0" collapsed="false">
      <c r="A158" s="18" t="s">
        <v>221</v>
      </c>
      <c r="B158" s="18" t="n">
        <v>4</v>
      </c>
      <c r="C158" s="18" t="s">
        <v>311</v>
      </c>
      <c r="D158" s="18" t="str">
        <f aca="false">4_Scorer_A!G158</f>
        <v/>
      </c>
      <c r="E158" s="18" t="str">
        <f aca="false">4_Scorer_B!G158</f>
        <v/>
      </c>
      <c r="F158" s="18" t="str">
        <f aca="false">4_Scorer_C!G158</f>
        <v/>
      </c>
      <c r="G158" s="18" t="str">
        <f aca="false">IF(COUNT(D158:F158)=3,AVERAGE(D158:F158),"")</f>
        <v/>
      </c>
      <c r="H158" s="18" t="str">
        <f aca="false">IF(COUNT(D158:F158)=3,MAX(D158:F158)-MIN(D158:F158),"")</f>
        <v/>
      </c>
      <c r="I158" s="18" t="str">
        <f aca="false">IF(H158="","",IF(H158&gt;1,"RECONCILE","OK"))</f>
        <v/>
      </c>
      <c r="J158" s="18" t="str">
        <f aca="false">IF(G158="","",G158)</f>
        <v/>
      </c>
    </row>
    <row r="159" customFormat="false" ht="15" hidden="false" customHeight="false" outlineLevel="0" collapsed="false">
      <c r="A159" s="18" t="s">
        <v>221</v>
      </c>
      <c r="B159" s="18" t="n">
        <v>4</v>
      </c>
      <c r="C159" s="18" t="s">
        <v>312</v>
      </c>
      <c r="D159" s="18" t="str">
        <f aca="false">4_Scorer_A!G159</f>
        <v/>
      </c>
      <c r="E159" s="18" t="str">
        <f aca="false">4_Scorer_B!G159</f>
        <v/>
      </c>
      <c r="F159" s="18" t="str">
        <f aca="false">4_Scorer_C!G159</f>
        <v/>
      </c>
      <c r="G159" s="18" t="str">
        <f aca="false">IF(COUNT(D159:F159)=3,AVERAGE(D159:F159),"")</f>
        <v/>
      </c>
      <c r="H159" s="18" t="str">
        <f aca="false">IF(COUNT(D159:F159)=3,MAX(D159:F159)-MIN(D159:F159),"")</f>
        <v/>
      </c>
      <c r="I159" s="18" t="str">
        <f aca="false">IF(H159="","",IF(H159&gt;1,"RECONCILE","OK"))</f>
        <v/>
      </c>
      <c r="J159" s="18" t="str">
        <f aca="false">IF(G159="","",G159)</f>
        <v/>
      </c>
    </row>
    <row r="160" customFormat="false" ht="15" hidden="false" customHeight="false" outlineLevel="0" collapsed="false">
      <c r="A160" s="18" t="s">
        <v>221</v>
      </c>
      <c r="B160" s="18" t="n">
        <v>4</v>
      </c>
      <c r="C160" s="18" t="s">
        <v>313</v>
      </c>
      <c r="D160" s="18" t="str">
        <f aca="false">4_Scorer_A!G160</f>
        <v/>
      </c>
      <c r="E160" s="18" t="str">
        <f aca="false">4_Scorer_B!G160</f>
        <v/>
      </c>
      <c r="F160" s="18" t="str">
        <f aca="false">4_Scorer_C!G160</f>
        <v/>
      </c>
      <c r="G160" s="18" t="str">
        <f aca="false">IF(COUNT(D160:F160)=3,AVERAGE(D160:F160),"")</f>
        <v/>
      </c>
      <c r="H160" s="18" t="str">
        <f aca="false">IF(COUNT(D160:F160)=3,MAX(D160:F160)-MIN(D160:F160),"")</f>
        <v/>
      </c>
      <c r="I160" s="18" t="str">
        <f aca="false">IF(H160="","",IF(H160&gt;1,"RECONCILE","OK"))</f>
        <v/>
      </c>
      <c r="J160" s="18" t="str">
        <f aca="false">IF(G160="","",G160)</f>
        <v/>
      </c>
    </row>
    <row r="161" customFormat="false" ht="15" hidden="false" customHeight="false" outlineLevel="0" collapsed="false">
      <c r="A161" s="18" t="s">
        <v>221</v>
      </c>
      <c r="B161" s="18" t="n">
        <v>4</v>
      </c>
      <c r="C161" s="18" t="s">
        <v>314</v>
      </c>
      <c r="D161" s="18" t="str">
        <f aca="false">4_Scorer_A!G161</f>
        <v/>
      </c>
      <c r="E161" s="18" t="str">
        <f aca="false">4_Scorer_B!G161</f>
        <v/>
      </c>
      <c r="F161" s="18" t="str">
        <f aca="false">4_Scorer_C!G161</f>
        <v/>
      </c>
      <c r="G161" s="18" t="str">
        <f aca="false">IF(COUNT(D161:F161)=3,AVERAGE(D161:F161),"")</f>
        <v/>
      </c>
      <c r="H161" s="18" t="str">
        <f aca="false">IF(COUNT(D161:F161)=3,MAX(D161:F161)-MIN(D161:F161),"")</f>
        <v/>
      </c>
      <c r="I161" s="18" t="str">
        <f aca="false">IF(H161="","",IF(H161&gt;1,"RECONCILE","OK"))</f>
        <v/>
      </c>
      <c r="J161" s="18" t="str">
        <f aca="false">IF(G161="","",G161)</f>
        <v/>
      </c>
    </row>
    <row r="162" customFormat="false" ht="15" hidden="false" customHeight="false" outlineLevel="0" collapsed="false">
      <c r="A162" s="18" t="s">
        <v>225</v>
      </c>
      <c r="B162" s="18" t="n">
        <v>5</v>
      </c>
      <c r="C162" s="18" t="s">
        <v>311</v>
      </c>
      <c r="D162" s="18" t="str">
        <f aca="false">4_Scorer_A!G162</f>
        <v/>
      </c>
      <c r="E162" s="18" t="str">
        <f aca="false">4_Scorer_B!G162</f>
        <v/>
      </c>
      <c r="F162" s="18" t="str">
        <f aca="false">4_Scorer_C!G162</f>
        <v/>
      </c>
      <c r="G162" s="18" t="str">
        <f aca="false">IF(COUNT(D162:F162)=3,AVERAGE(D162:F162),"")</f>
        <v/>
      </c>
      <c r="H162" s="18" t="str">
        <f aca="false">IF(COUNT(D162:F162)=3,MAX(D162:F162)-MIN(D162:F162),"")</f>
        <v/>
      </c>
      <c r="I162" s="18" t="str">
        <f aca="false">IF(H162="","",IF(H162&gt;1,"RECONCILE","OK"))</f>
        <v/>
      </c>
      <c r="J162" s="18" t="str">
        <f aca="false">IF(G162="","",G162)</f>
        <v/>
      </c>
    </row>
    <row r="163" customFormat="false" ht="15" hidden="false" customHeight="false" outlineLevel="0" collapsed="false">
      <c r="A163" s="18" t="s">
        <v>225</v>
      </c>
      <c r="B163" s="18" t="n">
        <v>5</v>
      </c>
      <c r="C163" s="18" t="s">
        <v>312</v>
      </c>
      <c r="D163" s="18" t="str">
        <f aca="false">4_Scorer_A!G163</f>
        <v/>
      </c>
      <c r="E163" s="18" t="str">
        <f aca="false">4_Scorer_B!G163</f>
        <v/>
      </c>
      <c r="F163" s="18" t="str">
        <f aca="false">4_Scorer_C!G163</f>
        <v/>
      </c>
      <c r="G163" s="18" t="str">
        <f aca="false">IF(COUNT(D163:F163)=3,AVERAGE(D163:F163),"")</f>
        <v/>
      </c>
      <c r="H163" s="18" t="str">
        <f aca="false">IF(COUNT(D163:F163)=3,MAX(D163:F163)-MIN(D163:F163),"")</f>
        <v/>
      </c>
      <c r="I163" s="18" t="str">
        <f aca="false">IF(H163="","",IF(H163&gt;1,"RECONCILE","OK"))</f>
        <v/>
      </c>
      <c r="J163" s="18" t="str">
        <f aca="false">IF(G163="","",G163)</f>
        <v/>
      </c>
    </row>
    <row r="164" customFormat="false" ht="15" hidden="false" customHeight="false" outlineLevel="0" collapsed="false">
      <c r="A164" s="18" t="s">
        <v>225</v>
      </c>
      <c r="B164" s="18" t="n">
        <v>5</v>
      </c>
      <c r="C164" s="18" t="s">
        <v>313</v>
      </c>
      <c r="D164" s="18" t="str">
        <f aca="false">4_Scorer_A!G164</f>
        <v/>
      </c>
      <c r="E164" s="18" t="str">
        <f aca="false">4_Scorer_B!G164</f>
        <v/>
      </c>
      <c r="F164" s="18" t="str">
        <f aca="false">4_Scorer_C!G164</f>
        <v/>
      </c>
      <c r="G164" s="18" t="str">
        <f aca="false">IF(COUNT(D164:F164)=3,AVERAGE(D164:F164),"")</f>
        <v/>
      </c>
      <c r="H164" s="18" t="str">
        <f aca="false">IF(COUNT(D164:F164)=3,MAX(D164:F164)-MIN(D164:F164),"")</f>
        <v/>
      </c>
      <c r="I164" s="18" t="str">
        <f aca="false">IF(H164="","",IF(H164&gt;1,"RECONCILE","OK"))</f>
        <v/>
      </c>
      <c r="J164" s="18" t="str">
        <f aca="false">IF(G164="","",G164)</f>
        <v/>
      </c>
    </row>
    <row r="165" customFormat="false" ht="15" hidden="false" customHeight="false" outlineLevel="0" collapsed="false">
      <c r="A165" s="18" t="s">
        <v>225</v>
      </c>
      <c r="B165" s="18" t="n">
        <v>5</v>
      </c>
      <c r="C165" s="18" t="s">
        <v>314</v>
      </c>
      <c r="D165" s="18" t="str">
        <f aca="false">4_Scorer_A!G165</f>
        <v/>
      </c>
      <c r="E165" s="18" t="str">
        <f aca="false">4_Scorer_B!G165</f>
        <v/>
      </c>
      <c r="F165" s="18" t="str">
        <f aca="false">4_Scorer_C!G165</f>
        <v/>
      </c>
      <c r="G165" s="18" t="str">
        <f aca="false">IF(COUNT(D165:F165)=3,AVERAGE(D165:F165),"")</f>
        <v/>
      </c>
      <c r="H165" s="18" t="str">
        <f aca="false">IF(COUNT(D165:F165)=3,MAX(D165:F165)-MIN(D165:F165),"")</f>
        <v/>
      </c>
      <c r="I165" s="18" t="str">
        <f aca="false">IF(H165="","",IF(H165&gt;1,"RECONCILE","OK"))</f>
        <v/>
      </c>
      <c r="J165" s="18" t="str">
        <f aca="false">IF(G165="","",G165)</f>
        <v/>
      </c>
    </row>
    <row r="166" customFormat="false" ht="15" hidden="false" customHeight="false" outlineLevel="0" collapsed="false">
      <c r="A166" s="18" t="s">
        <v>231</v>
      </c>
      <c r="B166" s="18" t="n">
        <v>5</v>
      </c>
      <c r="C166" s="18" t="s">
        <v>311</v>
      </c>
      <c r="D166" s="18" t="str">
        <f aca="false">4_Scorer_A!G166</f>
        <v/>
      </c>
      <c r="E166" s="18" t="str">
        <f aca="false">4_Scorer_B!G166</f>
        <v/>
      </c>
      <c r="F166" s="18" t="str">
        <f aca="false">4_Scorer_C!G166</f>
        <v/>
      </c>
      <c r="G166" s="18" t="str">
        <f aca="false">IF(COUNT(D166:F166)=3,AVERAGE(D166:F166),"")</f>
        <v/>
      </c>
      <c r="H166" s="18" t="str">
        <f aca="false">IF(COUNT(D166:F166)=3,MAX(D166:F166)-MIN(D166:F166),"")</f>
        <v/>
      </c>
      <c r="I166" s="18" t="str">
        <f aca="false">IF(H166="","",IF(H166&gt;1,"RECONCILE","OK"))</f>
        <v/>
      </c>
      <c r="J166" s="18" t="str">
        <f aca="false">IF(G166="","",G166)</f>
        <v/>
      </c>
    </row>
    <row r="167" customFormat="false" ht="15" hidden="false" customHeight="false" outlineLevel="0" collapsed="false">
      <c r="A167" s="18" t="s">
        <v>231</v>
      </c>
      <c r="B167" s="18" t="n">
        <v>5</v>
      </c>
      <c r="C167" s="18" t="s">
        <v>312</v>
      </c>
      <c r="D167" s="18" t="str">
        <f aca="false">4_Scorer_A!G167</f>
        <v/>
      </c>
      <c r="E167" s="18" t="str">
        <f aca="false">4_Scorer_B!G167</f>
        <v/>
      </c>
      <c r="F167" s="18" t="str">
        <f aca="false">4_Scorer_C!G167</f>
        <v/>
      </c>
      <c r="G167" s="18" t="str">
        <f aca="false">IF(COUNT(D167:F167)=3,AVERAGE(D167:F167),"")</f>
        <v/>
      </c>
      <c r="H167" s="18" t="str">
        <f aca="false">IF(COUNT(D167:F167)=3,MAX(D167:F167)-MIN(D167:F167),"")</f>
        <v/>
      </c>
      <c r="I167" s="18" t="str">
        <f aca="false">IF(H167="","",IF(H167&gt;1,"RECONCILE","OK"))</f>
        <v/>
      </c>
      <c r="J167" s="18" t="str">
        <f aca="false">IF(G167="","",G167)</f>
        <v/>
      </c>
    </row>
    <row r="168" customFormat="false" ht="15" hidden="false" customHeight="false" outlineLevel="0" collapsed="false">
      <c r="A168" s="18" t="s">
        <v>231</v>
      </c>
      <c r="B168" s="18" t="n">
        <v>5</v>
      </c>
      <c r="C168" s="18" t="s">
        <v>313</v>
      </c>
      <c r="D168" s="18" t="str">
        <f aca="false">4_Scorer_A!G168</f>
        <v/>
      </c>
      <c r="E168" s="18" t="str">
        <f aca="false">4_Scorer_B!G168</f>
        <v/>
      </c>
      <c r="F168" s="18" t="str">
        <f aca="false">4_Scorer_C!G168</f>
        <v/>
      </c>
      <c r="G168" s="18" t="str">
        <f aca="false">IF(COUNT(D168:F168)=3,AVERAGE(D168:F168),"")</f>
        <v/>
      </c>
      <c r="H168" s="18" t="str">
        <f aca="false">IF(COUNT(D168:F168)=3,MAX(D168:F168)-MIN(D168:F168),"")</f>
        <v/>
      </c>
      <c r="I168" s="18" t="str">
        <f aca="false">IF(H168="","",IF(H168&gt;1,"RECONCILE","OK"))</f>
        <v/>
      </c>
      <c r="J168" s="18" t="str">
        <f aca="false">IF(G168="","",G168)</f>
        <v/>
      </c>
    </row>
    <row r="169" customFormat="false" ht="15" hidden="false" customHeight="false" outlineLevel="0" collapsed="false">
      <c r="A169" s="18" t="s">
        <v>231</v>
      </c>
      <c r="B169" s="18" t="n">
        <v>5</v>
      </c>
      <c r="C169" s="18" t="s">
        <v>314</v>
      </c>
      <c r="D169" s="18" t="str">
        <f aca="false">4_Scorer_A!G169</f>
        <v/>
      </c>
      <c r="E169" s="18" t="str">
        <f aca="false">4_Scorer_B!G169</f>
        <v/>
      </c>
      <c r="F169" s="18" t="str">
        <f aca="false">4_Scorer_C!G169</f>
        <v/>
      </c>
      <c r="G169" s="18" t="str">
        <f aca="false">IF(COUNT(D169:F169)=3,AVERAGE(D169:F169),"")</f>
        <v/>
      </c>
      <c r="H169" s="18" t="str">
        <f aca="false">IF(COUNT(D169:F169)=3,MAX(D169:F169)-MIN(D169:F169),"")</f>
        <v/>
      </c>
      <c r="I169" s="18" t="str">
        <f aca="false">IF(H169="","",IF(H169&gt;1,"RECONCILE","OK"))</f>
        <v/>
      </c>
      <c r="J169" s="18" t="str">
        <f aca="false">IF(G169="","",G169)</f>
        <v/>
      </c>
    </row>
    <row r="170" customFormat="false" ht="15" hidden="false" customHeight="false" outlineLevel="0" collapsed="false">
      <c r="A170" s="18" t="s">
        <v>236</v>
      </c>
      <c r="B170" s="18" t="n">
        <v>5</v>
      </c>
      <c r="C170" s="18" t="s">
        <v>311</v>
      </c>
      <c r="D170" s="18" t="str">
        <f aca="false">4_Scorer_A!G170</f>
        <v/>
      </c>
      <c r="E170" s="18" t="str">
        <f aca="false">4_Scorer_B!G170</f>
        <v/>
      </c>
      <c r="F170" s="18" t="str">
        <f aca="false">4_Scorer_C!G170</f>
        <v/>
      </c>
      <c r="G170" s="18" t="str">
        <f aca="false">IF(COUNT(D170:F170)=3,AVERAGE(D170:F170),"")</f>
        <v/>
      </c>
      <c r="H170" s="18" t="str">
        <f aca="false">IF(COUNT(D170:F170)=3,MAX(D170:F170)-MIN(D170:F170),"")</f>
        <v/>
      </c>
      <c r="I170" s="18" t="str">
        <f aca="false">IF(H170="","",IF(H170&gt;1,"RECONCILE","OK"))</f>
        <v/>
      </c>
      <c r="J170" s="18" t="str">
        <f aca="false">IF(G170="","",G170)</f>
        <v/>
      </c>
    </row>
    <row r="171" customFormat="false" ht="15" hidden="false" customHeight="false" outlineLevel="0" collapsed="false">
      <c r="A171" s="18" t="s">
        <v>236</v>
      </c>
      <c r="B171" s="18" t="n">
        <v>5</v>
      </c>
      <c r="C171" s="18" t="s">
        <v>312</v>
      </c>
      <c r="D171" s="18" t="str">
        <f aca="false">4_Scorer_A!G171</f>
        <v/>
      </c>
      <c r="E171" s="18" t="str">
        <f aca="false">4_Scorer_B!G171</f>
        <v/>
      </c>
      <c r="F171" s="18" t="str">
        <f aca="false">4_Scorer_C!G171</f>
        <v/>
      </c>
      <c r="G171" s="18" t="str">
        <f aca="false">IF(COUNT(D171:F171)=3,AVERAGE(D171:F171),"")</f>
        <v/>
      </c>
      <c r="H171" s="18" t="str">
        <f aca="false">IF(COUNT(D171:F171)=3,MAX(D171:F171)-MIN(D171:F171),"")</f>
        <v/>
      </c>
      <c r="I171" s="18" t="str">
        <f aca="false">IF(H171="","",IF(H171&gt;1,"RECONCILE","OK"))</f>
        <v/>
      </c>
      <c r="J171" s="18" t="str">
        <f aca="false">IF(G171="","",G171)</f>
        <v/>
      </c>
    </row>
    <row r="172" customFormat="false" ht="15" hidden="false" customHeight="false" outlineLevel="0" collapsed="false">
      <c r="A172" s="18" t="s">
        <v>236</v>
      </c>
      <c r="B172" s="18" t="n">
        <v>5</v>
      </c>
      <c r="C172" s="18" t="s">
        <v>313</v>
      </c>
      <c r="D172" s="18" t="str">
        <f aca="false">4_Scorer_A!G172</f>
        <v/>
      </c>
      <c r="E172" s="18" t="str">
        <f aca="false">4_Scorer_B!G172</f>
        <v/>
      </c>
      <c r="F172" s="18" t="str">
        <f aca="false">4_Scorer_C!G172</f>
        <v/>
      </c>
      <c r="G172" s="18" t="str">
        <f aca="false">IF(COUNT(D172:F172)=3,AVERAGE(D172:F172),"")</f>
        <v/>
      </c>
      <c r="H172" s="18" t="str">
        <f aca="false">IF(COUNT(D172:F172)=3,MAX(D172:F172)-MIN(D172:F172),"")</f>
        <v/>
      </c>
      <c r="I172" s="18" t="str">
        <f aca="false">IF(H172="","",IF(H172&gt;1,"RECONCILE","OK"))</f>
        <v/>
      </c>
      <c r="J172" s="18" t="str">
        <f aca="false">IF(G172="","",G172)</f>
        <v/>
      </c>
    </row>
    <row r="173" customFormat="false" ht="15" hidden="false" customHeight="false" outlineLevel="0" collapsed="false">
      <c r="A173" s="18" t="s">
        <v>236</v>
      </c>
      <c r="B173" s="18" t="n">
        <v>5</v>
      </c>
      <c r="C173" s="18" t="s">
        <v>314</v>
      </c>
      <c r="D173" s="18" t="str">
        <f aca="false">4_Scorer_A!G173</f>
        <v/>
      </c>
      <c r="E173" s="18" t="str">
        <f aca="false">4_Scorer_B!G173</f>
        <v/>
      </c>
      <c r="F173" s="18" t="str">
        <f aca="false">4_Scorer_C!G173</f>
        <v/>
      </c>
      <c r="G173" s="18" t="str">
        <f aca="false">IF(COUNT(D173:F173)=3,AVERAGE(D173:F173),"")</f>
        <v/>
      </c>
      <c r="H173" s="18" t="str">
        <f aca="false">IF(COUNT(D173:F173)=3,MAX(D173:F173)-MIN(D173:F173),"")</f>
        <v/>
      </c>
      <c r="I173" s="18" t="str">
        <f aca="false">IF(H173="","",IF(H173&gt;1,"RECONCILE","OK"))</f>
        <v/>
      </c>
      <c r="J173" s="18" t="str">
        <f aca="false">IF(G173="","",G173)</f>
        <v/>
      </c>
    </row>
    <row r="174" customFormat="false" ht="15" hidden="false" customHeight="false" outlineLevel="0" collapsed="false">
      <c r="A174" s="18" t="s">
        <v>241</v>
      </c>
      <c r="B174" s="18" t="n">
        <v>5</v>
      </c>
      <c r="C174" s="18" t="s">
        <v>311</v>
      </c>
      <c r="D174" s="18" t="str">
        <f aca="false">4_Scorer_A!G174</f>
        <v/>
      </c>
      <c r="E174" s="18" t="str">
        <f aca="false">4_Scorer_B!G174</f>
        <v/>
      </c>
      <c r="F174" s="18" t="str">
        <f aca="false">4_Scorer_C!G174</f>
        <v/>
      </c>
      <c r="G174" s="18" t="str">
        <f aca="false">IF(COUNT(D174:F174)=3,AVERAGE(D174:F174),"")</f>
        <v/>
      </c>
      <c r="H174" s="18" t="str">
        <f aca="false">IF(COUNT(D174:F174)=3,MAX(D174:F174)-MIN(D174:F174),"")</f>
        <v/>
      </c>
      <c r="I174" s="18" t="str">
        <f aca="false">IF(H174="","",IF(H174&gt;1,"RECONCILE","OK"))</f>
        <v/>
      </c>
      <c r="J174" s="18" t="str">
        <f aca="false">IF(G174="","",G174)</f>
        <v/>
      </c>
    </row>
    <row r="175" customFormat="false" ht="15" hidden="false" customHeight="false" outlineLevel="0" collapsed="false">
      <c r="A175" s="18" t="s">
        <v>241</v>
      </c>
      <c r="B175" s="18" t="n">
        <v>5</v>
      </c>
      <c r="C175" s="18" t="s">
        <v>312</v>
      </c>
      <c r="D175" s="18" t="str">
        <f aca="false">4_Scorer_A!G175</f>
        <v/>
      </c>
      <c r="E175" s="18" t="str">
        <f aca="false">4_Scorer_B!G175</f>
        <v/>
      </c>
      <c r="F175" s="18" t="str">
        <f aca="false">4_Scorer_C!G175</f>
        <v/>
      </c>
      <c r="G175" s="18" t="str">
        <f aca="false">IF(COUNT(D175:F175)=3,AVERAGE(D175:F175),"")</f>
        <v/>
      </c>
      <c r="H175" s="18" t="str">
        <f aca="false">IF(COUNT(D175:F175)=3,MAX(D175:F175)-MIN(D175:F175),"")</f>
        <v/>
      </c>
      <c r="I175" s="18" t="str">
        <f aca="false">IF(H175="","",IF(H175&gt;1,"RECONCILE","OK"))</f>
        <v/>
      </c>
      <c r="J175" s="18" t="str">
        <f aca="false">IF(G175="","",G175)</f>
        <v/>
      </c>
    </row>
    <row r="176" customFormat="false" ht="15" hidden="false" customHeight="false" outlineLevel="0" collapsed="false">
      <c r="A176" s="18" t="s">
        <v>241</v>
      </c>
      <c r="B176" s="18" t="n">
        <v>5</v>
      </c>
      <c r="C176" s="18" t="s">
        <v>313</v>
      </c>
      <c r="D176" s="18" t="str">
        <f aca="false">4_Scorer_A!G176</f>
        <v/>
      </c>
      <c r="E176" s="18" t="str">
        <f aca="false">4_Scorer_B!G176</f>
        <v/>
      </c>
      <c r="F176" s="18" t="str">
        <f aca="false">4_Scorer_C!G176</f>
        <v/>
      </c>
      <c r="G176" s="18" t="str">
        <f aca="false">IF(COUNT(D176:F176)=3,AVERAGE(D176:F176),"")</f>
        <v/>
      </c>
      <c r="H176" s="18" t="str">
        <f aca="false">IF(COUNT(D176:F176)=3,MAX(D176:F176)-MIN(D176:F176),"")</f>
        <v/>
      </c>
      <c r="I176" s="18" t="str">
        <f aca="false">IF(H176="","",IF(H176&gt;1,"RECONCILE","OK"))</f>
        <v/>
      </c>
      <c r="J176" s="18" t="str">
        <f aca="false">IF(G176="","",G176)</f>
        <v/>
      </c>
    </row>
    <row r="177" customFormat="false" ht="15" hidden="false" customHeight="false" outlineLevel="0" collapsed="false">
      <c r="A177" s="18" t="s">
        <v>241</v>
      </c>
      <c r="B177" s="18" t="n">
        <v>5</v>
      </c>
      <c r="C177" s="18" t="s">
        <v>314</v>
      </c>
      <c r="D177" s="18" t="str">
        <f aca="false">4_Scorer_A!G177</f>
        <v/>
      </c>
      <c r="E177" s="18" t="str">
        <f aca="false">4_Scorer_B!G177</f>
        <v/>
      </c>
      <c r="F177" s="18" t="str">
        <f aca="false">4_Scorer_C!G177</f>
        <v/>
      </c>
      <c r="G177" s="18" t="str">
        <f aca="false">IF(COUNT(D177:F177)=3,AVERAGE(D177:F177),"")</f>
        <v/>
      </c>
      <c r="H177" s="18" t="str">
        <f aca="false">IF(COUNT(D177:F177)=3,MAX(D177:F177)-MIN(D177:F177),"")</f>
        <v/>
      </c>
      <c r="I177" s="18" t="str">
        <f aca="false">IF(H177="","",IF(H177&gt;1,"RECONCILE","OK"))</f>
        <v/>
      </c>
      <c r="J177" s="18" t="str">
        <f aca="false">IF(G177="","",G177)</f>
        <v/>
      </c>
    </row>
    <row r="178" customFormat="false" ht="15" hidden="false" customHeight="false" outlineLevel="0" collapsed="false">
      <c r="A178" s="18" t="s">
        <v>246</v>
      </c>
      <c r="B178" s="18" t="n">
        <v>5</v>
      </c>
      <c r="C178" s="18" t="s">
        <v>311</v>
      </c>
      <c r="D178" s="18" t="str">
        <f aca="false">4_Scorer_A!G178</f>
        <v/>
      </c>
      <c r="E178" s="18" t="str">
        <f aca="false">4_Scorer_B!G178</f>
        <v/>
      </c>
      <c r="F178" s="18" t="str">
        <f aca="false">4_Scorer_C!G178</f>
        <v/>
      </c>
      <c r="G178" s="18" t="str">
        <f aca="false">IF(COUNT(D178:F178)=3,AVERAGE(D178:F178),"")</f>
        <v/>
      </c>
      <c r="H178" s="18" t="str">
        <f aca="false">IF(COUNT(D178:F178)=3,MAX(D178:F178)-MIN(D178:F178),"")</f>
        <v/>
      </c>
      <c r="I178" s="18" t="str">
        <f aca="false">IF(H178="","",IF(H178&gt;1,"RECONCILE","OK"))</f>
        <v/>
      </c>
      <c r="J178" s="18" t="str">
        <f aca="false">IF(G178="","",G178)</f>
        <v/>
      </c>
    </row>
    <row r="179" customFormat="false" ht="15" hidden="false" customHeight="false" outlineLevel="0" collapsed="false">
      <c r="A179" s="18" t="s">
        <v>246</v>
      </c>
      <c r="B179" s="18" t="n">
        <v>5</v>
      </c>
      <c r="C179" s="18" t="s">
        <v>312</v>
      </c>
      <c r="D179" s="18" t="str">
        <f aca="false">4_Scorer_A!G179</f>
        <v/>
      </c>
      <c r="E179" s="18" t="str">
        <f aca="false">4_Scorer_B!G179</f>
        <v/>
      </c>
      <c r="F179" s="18" t="str">
        <f aca="false">4_Scorer_C!G179</f>
        <v/>
      </c>
      <c r="G179" s="18" t="str">
        <f aca="false">IF(COUNT(D179:F179)=3,AVERAGE(D179:F179),"")</f>
        <v/>
      </c>
      <c r="H179" s="18" t="str">
        <f aca="false">IF(COUNT(D179:F179)=3,MAX(D179:F179)-MIN(D179:F179),"")</f>
        <v/>
      </c>
      <c r="I179" s="18" t="str">
        <f aca="false">IF(H179="","",IF(H179&gt;1,"RECONCILE","OK"))</f>
        <v/>
      </c>
      <c r="J179" s="18" t="str">
        <f aca="false">IF(G179="","",G179)</f>
        <v/>
      </c>
    </row>
    <row r="180" customFormat="false" ht="15" hidden="false" customHeight="false" outlineLevel="0" collapsed="false">
      <c r="A180" s="18" t="s">
        <v>246</v>
      </c>
      <c r="B180" s="18" t="n">
        <v>5</v>
      </c>
      <c r="C180" s="18" t="s">
        <v>313</v>
      </c>
      <c r="D180" s="18" t="str">
        <f aca="false">4_Scorer_A!G180</f>
        <v/>
      </c>
      <c r="E180" s="18" t="str">
        <f aca="false">4_Scorer_B!G180</f>
        <v/>
      </c>
      <c r="F180" s="18" t="str">
        <f aca="false">4_Scorer_C!G180</f>
        <v/>
      </c>
      <c r="G180" s="18" t="str">
        <f aca="false">IF(COUNT(D180:F180)=3,AVERAGE(D180:F180),"")</f>
        <v/>
      </c>
      <c r="H180" s="18" t="str">
        <f aca="false">IF(COUNT(D180:F180)=3,MAX(D180:F180)-MIN(D180:F180),"")</f>
        <v/>
      </c>
      <c r="I180" s="18" t="str">
        <f aca="false">IF(H180="","",IF(H180&gt;1,"RECONCILE","OK"))</f>
        <v/>
      </c>
      <c r="J180" s="18" t="str">
        <f aca="false">IF(G180="","",G180)</f>
        <v/>
      </c>
    </row>
    <row r="181" customFormat="false" ht="15" hidden="false" customHeight="false" outlineLevel="0" collapsed="false">
      <c r="A181" s="18" t="s">
        <v>246</v>
      </c>
      <c r="B181" s="18" t="n">
        <v>5</v>
      </c>
      <c r="C181" s="18" t="s">
        <v>314</v>
      </c>
      <c r="D181" s="18" t="str">
        <f aca="false">4_Scorer_A!G181</f>
        <v/>
      </c>
      <c r="E181" s="18" t="str">
        <f aca="false">4_Scorer_B!G181</f>
        <v/>
      </c>
      <c r="F181" s="18" t="str">
        <f aca="false">4_Scorer_C!G181</f>
        <v/>
      </c>
      <c r="G181" s="18" t="str">
        <f aca="false">IF(COUNT(D181:F181)=3,AVERAGE(D181:F181),"")</f>
        <v/>
      </c>
      <c r="H181" s="18" t="str">
        <f aca="false">IF(COUNT(D181:F181)=3,MAX(D181:F181)-MIN(D181:F181),"")</f>
        <v/>
      </c>
      <c r="I181" s="18" t="str">
        <f aca="false">IF(H181="","",IF(H181&gt;1,"RECONCILE","OK"))</f>
        <v/>
      </c>
      <c r="J181" s="18" t="str">
        <f aca="false">IF(G181="","",G181)</f>
        <v/>
      </c>
    </row>
    <row r="182" customFormat="false" ht="15" hidden="false" customHeight="false" outlineLevel="0" collapsed="false">
      <c r="A182" s="18" t="s">
        <v>250</v>
      </c>
      <c r="B182" s="18" t="n">
        <v>5</v>
      </c>
      <c r="C182" s="18" t="s">
        <v>311</v>
      </c>
      <c r="D182" s="18" t="str">
        <f aca="false">4_Scorer_A!G182</f>
        <v/>
      </c>
      <c r="E182" s="18" t="str">
        <f aca="false">4_Scorer_B!G182</f>
        <v/>
      </c>
      <c r="F182" s="18" t="str">
        <f aca="false">4_Scorer_C!G182</f>
        <v/>
      </c>
      <c r="G182" s="18" t="str">
        <f aca="false">IF(COUNT(D182:F182)=3,AVERAGE(D182:F182),"")</f>
        <v/>
      </c>
      <c r="H182" s="18" t="str">
        <f aca="false">IF(COUNT(D182:F182)=3,MAX(D182:F182)-MIN(D182:F182),"")</f>
        <v/>
      </c>
      <c r="I182" s="18" t="str">
        <f aca="false">IF(H182="","",IF(H182&gt;1,"RECONCILE","OK"))</f>
        <v/>
      </c>
      <c r="J182" s="18" t="str">
        <f aca="false">IF(G182="","",G182)</f>
        <v/>
      </c>
    </row>
    <row r="183" customFormat="false" ht="15" hidden="false" customHeight="false" outlineLevel="0" collapsed="false">
      <c r="A183" s="18" t="s">
        <v>250</v>
      </c>
      <c r="B183" s="18" t="n">
        <v>5</v>
      </c>
      <c r="C183" s="18" t="s">
        <v>312</v>
      </c>
      <c r="D183" s="18" t="str">
        <f aca="false">4_Scorer_A!G183</f>
        <v/>
      </c>
      <c r="E183" s="18" t="str">
        <f aca="false">4_Scorer_B!G183</f>
        <v/>
      </c>
      <c r="F183" s="18" t="str">
        <f aca="false">4_Scorer_C!G183</f>
        <v/>
      </c>
      <c r="G183" s="18" t="str">
        <f aca="false">IF(COUNT(D183:F183)=3,AVERAGE(D183:F183),"")</f>
        <v/>
      </c>
      <c r="H183" s="18" t="str">
        <f aca="false">IF(COUNT(D183:F183)=3,MAX(D183:F183)-MIN(D183:F183),"")</f>
        <v/>
      </c>
      <c r="I183" s="18" t="str">
        <f aca="false">IF(H183="","",IF(H183&gt;1,"RECONCILE","OK"))</f>
        <v/>
      </c>
      <c r="J183" s="18" t="str">
        <f aca="false">IF(G183="","",G183)</f>
        <v/>
      </c>
    </row>
    <row r="184" customFormat="false" ht="15" hidden="false" customHeight="false" outlineLevel="0" collapsed="false">
      <c r="A184" s="18" t="s">
        <v>250</v>
      </c>
      <c r="B184" s="18" t="n">
        <v>5</v>
      </c>
      <c r="C184" s="18" t="s">
        <v>313</v>
      </c>
      <c r="D184" s="18" t="str">
        <f aca="false">4_Scorer_A!G184</f>
        <v/>
      </c>
      <c r="E184" s="18" t="str">
        <f aca="false">4_Scorer_B!G184</f>
        <v/>
      </c>
      <c r="F184" s="18" t="str">
        <f aca="false">4_Scorer_C!G184</f>
        <v/>
      </c>
      <c r="G184" s="18" t="str">
        <f aca="false">IF(COUNT(D184:F184)=3,AVERAGE(D184:F184),"")</f>
        <v/>
      </c>
      <c r="H184" s="18" t="str">
        <f aca="false">IF(COUNT(D184:F184)=3,MAX(D184:F184)-MIN(D184:F184),"")</f>
        <v/>
      </c>
      <c r="I184" s="18" t="str">
        <f aca="false">IF(H184="","",IF(H184&gt;1,"RECONCILE","OK"))</f>
        <v/>
      </c>
      <c r="J184" s="18" t="str">
        <f aca="false">IF(G184="","",G184)</f>
        <v/>
      </c>
    </row>
    <row r="185" customFormat="false" ht="15" hidden="false" customHeight="false" outlineLevel="0" collapsed="false">
      <c r="A185" s="18" t="s">
        <v>250</v>
      </c>
      <c r="B185" s="18" t="n">
        <v>5</v>
      </c>
      <c r="C185" s="18" t="s">
        <v>314</v>
      </c>
      <c r="D185" s="18" t="str">
        <f aca="false">4_Scorer_A!G185</f>
        <v/>
      </c>
      <c r="E185" s="18" t="str">
        <f aca="false">4_Scorer_B!G185</f>
        <v/>
      </c>
      <c r="F185" s="18" t="str">
        <f aca="false">4_Scorer_C!G185</f>
        <v/>
      </c>
      <c r="G185" s="18" t="str">
        <f aca="false">IF(COUNT(D185:F185)=3,AVERAGE(D185:F185),"")</f>
        <v/>
      </c>
      <c r="H185" s="18" t="str">
        <f aca="false">IF(COUNT(D185:F185)=3,MAX(D185:F185)-MIN(D185:F185),"")</f>
        <v/>
      </c>
      <c r="I185" s="18" t="str">
        <f aca="false">IF(H185="","",IF(H185&gt;1,"RECONCILE","OK"))</f>
        <v/>
      </c>
      <c r="J185" s="18" t="str">
        <f aca="false">IF(G185="","",G185)</f>
        <v/>
      </c>
    </row>
    <row r="186" customFormat="false" ht="15" hidden="false" customHeight="false" outlineLevel="0" collapsed="false">
      <c r="A186" s="18" t="s">
        <v>255</v>
      </c>
      <c r="B186" s="18" t="n">
        <v>5</v>
      </c>
      <c r="C186" s="18" t="s">
        <v>311</v>
      </c>
      <c r="D186" s="18" t="str">
        <f aca="false">4_Scorer_A!G186</f>
        <v/>
      </c>
      <c r="E186" s="18" t="str">
        <f aca="false">4_Scorer_B!G186</f>
        <v/>
      </c>
      <c r="F186" s="18" t="str">
        <f aca="false">4_Scorer_C!G186</f>
        <v/>
      </c>
      <c r="G186" s="18" t="str">
        <f aca="false">IF(COUNT(D186:F186)=3,AVERAGE(D186:F186),"")</f>
        <v/>
      </c>
      <c r="H186" s="18" t="str">
        <f aca="false">IF(COUNT(D186:F186)=3,MAX(D186:F186)-MIN(D186:F186),"")</f>
        <v/>
      </c>
      <c r="I186" s="18" t="str">
        <f aca="false">IF(H186="","",IF(H186&gt;1,"RECONCILE","OK"))</f>
        <v/>
      </c>
      <c r="J186" s="18" t="str">
        <f aca="false">IF(G186="","",G186)</f>
        <v/>
      </c>
    </row>
    <row r="187" customFormat="false" ht="15" hidden="false" customHeight="false" outlineLevel="0" collapsed="false">
      <c r="A187" s="18" t="s">
        <v>255</v>
      </c>
      <c r="B187" s="18" t="n">
        <v>5</v>
      </c>
      <c r="C187" s="18" t="s">
        <v>312</v>
      </c>
      <c r="D187" s="18" t="str">
        <f aca="false">4_Scorer_A!G187</f>
        <v/>
      </c>
      <c r="E187" s="18" t="str">
        <f aca="false">4_Scorer_B!G187</f>
        <v/>
      </c>
      <c r="F187" s="18" t="str">
        <f aca="false">4_Scorer_C!G187</f>
        <v/>
      </c>
      <c r="G187" s="18" t="str">
        <f aca="false">IF(COUNT(D187:F187)=3,AVERAGE(D187:F187),"")</f>
        <v/>
      </c>
      <c r="H187" s="18" t="str">
        <f aca="false">IF(COUNT(D187:F187)=3,MAX(D187:F187)-MIN(D187:F187),"")</f>
        <v/>
      </c>
      <c r="I187" s="18" t="str">
        <f aca="false">IF(H187="","",IF(H187&gt;1,"RECONCILE","OK"))</f>
        <v/>
      </c>
      <c r="J187" s="18" t="str">
        <f aca="false">IF(G187="","",G187)</f>
        <v/>
      </c>
    </row>
    <row r="188" customFormat="false" ht="15" hidden="false" customHeight="false" outlineLevel="0" collapsed="false">
      <c r="A188" s="18" t="s">
        <v>255</v>
      </c>
      <c r="B188" s="18" t="n">
        <v>5</v>
      </c>
      <c r="C188" s="18" t="s">
        <v>313</v>
      </c>
      <c r="D188" s="18" t="str">
        <f aca="false">4_Scorer_A!G188</f>
        <v/>
      </c>
      <c r="E188" s="18" t="str">
        <f aca="false">4_Scorer_B!G188</f>
        <v/>
      </c>
      <c r="F188" s="18" t="str">
        <f aca="false">4_Scorer_C!G188</f>
        <v/>
      </c>
      <c r="G188" s="18" t="str">
        <f aca="false">IF(COUNT(D188:F188)=3,AVERAGE(D188:F188),"")</f>
        <v/>
      </c>
      <c r="H188" s="18" t="str">
        <f aca="false">IF(COUNT(D188:F188)=3,MAX(D188:F188)-MIN(D188:F188),"")</f>
        <v/>
      </c>
      <c r="I188" s="18" t="str">
        <f aca="false">IF(H188="","",IF(H188&gt;1,"RECONCILE","OK"))</f>
        <v/>
      </c>
      <c r="J188" s="18" t="str">
        <f aca="false">IF(G188="","",G188)</f>
        <v/>
      </c>
    </row>
    <row r="189" customFormat="false" ht="15" hidden="false" customHeight="false" outlineLevel="0" collapsed="false">
      <c r="A189" s="18" t="s">
        <v>255</v>
      </c>
      <c r="B189" s="18" t="n">
        <v>5</v>
      </c>
      <c r="C189" s="18" t="s">
        <v>314</v>
      </c>
      <c r="D189" s="18" t="str">
        <f aca="false">4_Scorer_A!G189</f>
        <v/>
      </c>
      <c r="E189" s="18" t="str">
        <f aca="false">4_Scorer_B!G189</f>
        <v/>
      </c>
      <c r="F189" s="18" t="str">
        <f aca="false">4_Scorer_C!G189</f>
        <v/>
      </c>
      <c r="G189" s="18" t="str">
        <f aca="false">IF(COUNT(D189:F189)=3,AVERAGE(D189:F189),"")</f>
        <v/>
      </c>
      <c r="H189" s="18" t="str">
        <f aca="false">IF(COUNT(D189:F189)=3,MAX(D189:F189)-MIN(D189:F189),"")</f>
        <v/>
      </c>
      <c r="I189" s="18" t="str">
        <f aca="false">IF(H189="","",IF(H189&gt;1,"RECONCILE","OK"))</f>
        <v/>
      </c>
      <c r="J189" s="18" t="str">
        <f aca="false">IF(G189="","",G189)</f>
        <v/>
      </c>
    </row>
    <row r="190" customFormat="false" ht="15" hidden="false" customHeight="false" outlineLevel="0" collapsed="false">
      <c r="A190" s="18" t="s">
        <v>259</v>
      </c>
      <c r="B190" s="18" t="n">
        <v>5</v>
      </c>
      <c r="C190" s="18" t="s">
        <v>311</v>
      </c>
      <c r="D190" s="18" t="str">
        <f aca="false">4_Scorer_A!G190</f>
        <v/>
      </c>
      <c r="E190" s="18" t="str">
        <f aca="false">4_Scorer_B!G190</f>
        <v/>
      </c>
      <c r="F190" s="18" t="str">
        <f aca="false">4_Scorer_C!G190</f>
        <v/>
      </c>
      <c r="G190" s="18" t="str">
        <f aca="false">IF(COUNT(D190:F190)=3,AVERAGE(D190:F190),"")</f>
        <v/>
      </c>
      <c r="H190" s="18" t="str">
        <f aca="false">IF(COUNT(D190:F190)=3,MAX(D190:F190)-MIN(D190:F190),"")</f>
        <v/>
      </c>
      <c r="I190" s="18" t="str">
        <f aca="false">IF(H190="","",IF(H190&gt;1,"RECONCILE","OK"))</f>
        <v/>
      </c>
      <c r="J190" s="18" t="str">
        <f aca="false">IF(G190="","",G190)</f>
        <v/>
      </c>
    </row>
    <row r="191" customFormat="false" ht="15" hidden="false" customHeight="false" outlineLevel="0" collapsed="false">
      <c r="A191" s="18" t="s">
        <v>259</v>
      </c>
      <c r="B191" s="18" t="n">
        <v>5</v>
      </c>
      <c r="C191" s="18" t="s">
        <v>312</v>
      </c>
      <c r="D191" s="18" t="str">
        <f aca="false">4_Scorer_A!G191</f>
        <v/>
      </c>
      <c r="E191" s="18" t="str">
        <f aca="false">4_Scorer_B!G191</f>
        <v/>
      </c>
      <c r="F191" s="18" t="str">
        <f aca="false">4_Scorer_C!G191</f>
        <v/>
      </c>
      <c r="G191" s="18" t="str">
        <f aca="false">IF(COUNT(D191:F191)=3,AVERAGE(D191:F191),"")</f>
        <v/>
      </c>
      <c r="H191" s="18" t="str">
        <f aca="false">IF(COUNT(D191:F191)=3,MAX(D191:F191)-MIN(D191:F191),"")</f>
        <v/>
      </c>
      <c r="I191" s="18" t="str">
        <f aca="false">IF(H191="","",IF(H191&gt;1,"RECONCILE","OK"))</f>
        <v/>
      </c>
      <c r="J191" s="18" t="str">
        <f aca="false">IF(G191="","",G191)</f>
        <v/>
      </c>
    </row>
    <row r="192" customFormat="false" ht="15" hidden="false" customHeight="false" outlineLevel="0" collapsed="false">
      <c r="A192" s="18" t="s">
        <v>259</v>
      </c>
      <c r="B192" s="18" t="n">
        <v>5</v>
      </c>
      <c r="C192" s="18" t="s">
        <v>313</v>
      </c>
      <c r="D192" s="18" t="str">
        <f aca="false">4_Scorer_A!G192</f>
        <v/>
      </c>
      <c r="E192" s="18" t="str">
        <f aca="false">4_Scorer_B!G192</f>
        <v/>
      </c>
      <c r="F192" s="18" t="str">
        <f aca="false">4_Scorer_C!G192</f>
        <v/>
      </c>
      <c r="G192" s="18" t="str">
        <f aca="false">IF(COUNT(D192:F192)=3,AVERAGE(D192:F192),"")</f>
        <v/>
      </c>
      <c r="H192" s="18" t="str">
        <f aca="false">IF(COUNT(D192:F192)=3,MAX(D192:F192)-MIN(D192:F192),"")</f>
        <v/>
      </c>
      <c r="I192" s="18" t="str">
        <f aca="false">IF(H192="","",IF(H192&gt;1,"RECONCILE","OK"))</f>
        <v/>
      </c>
      <c r="J192" s="18" t="str">
        <f aca="false">IF(G192="","",G192)</f>
        <v/>
      </c>
    </row>
    <row r="193" customFormat="false" ht="15" hidden="false" customHeight="false" outlineLevel="0" collapsed="false">
      <c r="A193" s="18" t="s">
        <v>259</v>
      </c>
      <c r="B193" s="18" t="n">
        <v>5</v>
      </c>
      <c r="C193" s="18" t="s">
        <v>314</v>
      </c>
      <c r="D193" s="18" t="str">
        <f aca="false">4_Scorer_A!G193</f>
        <v/>
      </c>
      <c r="E193" s="18" t="str">
        <f aca="false">4_Scorer_B!G193</f>
        <v/>
      </c>
      <c r="F193" s="18" t="str">
        <f aca="false">4_Scorer_C!G193</f>
        <v/>
      </c>
      <c r="G193" s="18" t="str">
        <f aca="false">IF(COUNT(D193:F193)=3,AVERAGE(D193:F193),"")</f>
        <v/>
      </c>
      <c r="H193" s="18" t="str">
        <f aca="false">IF(COUNT(D193:F193)=3,MAX(D193:F193)-MIN(D193:F193),"")</f>
        <v/>
      </c>
      <c r="I193" s="18" t="str">
        <f aca="false">IF(H193="","",IF(H193&gt;1,"RECONCILE","OK"))</f>
        <v/>
      </c>
      <c r="J193" s="18" t="str">
        <f aca="false">IF(G193="","",G193)</f>
        <v/>
      </c>
    </row>
    <row r="194" customFormat="false" ht="15" hidden="false" customHeight="false" outlineLevel="0" collapsed="false">
      <c r="A194" s="18" t="s">
        <v>264</v>
      </c>
      <c r="B194" s="18" t="n">
        <v>5</v>
      </c>
      <c r="C194" s="18" t="s">
        <v>311</v>
      </c>
      <c r="D194" s="18" t="str">
        <f aca="false">4_Scorer_A!G194</f>
        <v/>
      </c>
      <c r="E194" s="18" t="str">
        <f aca="false">4_Scorer_B!G194</f>
        <v/>
      </c>
      <c r="F194" s="18" t="str">
        <f aca="false">4_Scorer_C!G194</f>
        <v/>
      </c>
      <c r="G194" s="18" t="str">
        <f aca="false">IF(COUNT(D194:F194)=3,AVERAGE(D194:F194),"")</f>
        <v/>
      </c>
      <c r="H194" s="18" t="str">
        <f aca="false">IF(COUNT(D194:F194)=3,MAX(D194:F194)-MIN(D194:F194),"")</f>
        <v/>
      </c>
      <c r="I194" s="18" t="str">
        <f aca="false">IF(H194="","",IF(H194&gt;1,"RECONCILE","OK"))</f>
        <v/>
      </c>
      <c r="J194" s="18" t="str">
        <f aca="false">IF(G194="","",G194)</f>
        <v/>
      </c>
    </row>
    <row r="195" customFormat="false" ht="15" hidden="false" customHeight="false" outlineLevel="0" collapsed="false">
      <c r="A195" s="18" t="s">
        <v>264</v>
      </c>
      <c r="B195" s="18" t="n">
        <v>5</v>
      </c>
      <c r="C195" s="18" t="s">
        <v>312</v>
      </c>
      <c r="D195" s="18" t="str">
        <f aca="false">4_Scorer_A!G195</f>
        <v/>
      </c>
      <c r="E195" s="18" t="str">
        <f aca="false">4_Scorer_B!G195</f>
        <v/>
      </c>
      <c r="F195" s="18" t="str">
        <f aca="false">4_Scorer_C!G195</f>
        <v/>
      </c>
      <c r="G195" s="18" t="str">
        <f aca="false">IF(COUNT(D195:F195)=3,AVERAGE(D195:F195),"")</f>
        <v/>
      </c>
      <c r="H195" s="18" t="str">
        <f aca="false">IF(COUNT(D195:F195)=3,MAX(D195:F195)-MIN(D195:F195),"")</f>
        <v/>
      </c>
      <c r="I195" s="18" t="str">
        <f aca="false">IF(H195="","",IF(H195&gt;1,"RECONCILE","OK"))</f>
        <v/>
      </c>
      <c r="J195" s="18" t="str">
        <f aca="false">IF(G195="","",G195)</f>
        <v/>
      </c>
    </row>
    <row r="196" customFormat="false" ht="15" hidden="false" customHeight="false" outlineLevel="0" collapsed="false">
      <c r="A196" s="18" t="s">
        <v>264</v>
      </c>
      <c r="B196" s="18" t="n">
        <v>5</v>
      </c>
      <c r="C196" s="18" t="s">
        <v>313</v>
      </c>
      <c r="D196" s="18" t="str">
        <f aca="false">4_Scorer_A!G196</f>
        <v/>
      </c>
      <c r="E196" s="18" t="str">
        <f aca="false">4_Scorer_B!G196</f>
        <v/>
      </c>
      <c r="F196" s="18" t="str">
        <f aca="false">4_Scorer_C!G196</f>
        <v/>
      </c>
      <c r="G196" s="18" t="str">
        <f aca="false">IF(COUNT(D196:F196)=3,AVERAGE(D196:F196),"")</f>
        <v/>
      </c>
      <c r="H196" s="18" t="str">
        <f aca="false">IF(COUNT(D196:F196)=3,MAX(D196:F196)-MIN(D196:F196),"")</f>
        <v/>
      </c>
      <c r="I196" s="18" t="str">
        <f aca="false">IF(H196="","",IF(H196&gt;1,"RECONCILE","OK"))</f>
        <v/>
      </c>
      <c r="J196" s="18" t="str">
        <f aca="false">IF(G196="","",G196)</f>
        <v/>
      </c>
    </row>
    <row r="197" customFormat="false" ht="15" hidden="false" customHeight="false" outlineLevel="0" collapsed="false">
      <c r="A197" s="18" t="s">
        <v>264</v>
      </c>
      <c r="B197" s="18" t="n">
        <v>5</v>
      </c>
      <c r="C197" s="18" t="s">
        <v>314</v>
      </c>
      <c r="D197" s="18" t="str">
        <f aca="false">4_Scorer_A!G197</f>
        <v/>
      </c>
      <c r="E197" s="18" t="str">
        <f aca="false">4_Scorer_B!G197</f>
        <v/>
      </c>
      <c r="F197" s="18" t="str">
        <f aca="false">4_Scorer_C!G197</f>
        <v/>
      </c>
      <c r="G197" s="18" t="str">
        <f aca="false">IF(COUNT(D197:F197)=3,AVERAGE(D197:F197),"")</f>
        <v/>
      </c>
      <c r="H197" s="18" t="str">
        <f aca="false">IF(COUNT(D197:F197)=3,MAX(D197:F197)-MIN(D197:F197),"")</f>
        <v/>
      </c>
      <c r="I197" s="18" t="str">
        <f aca="false">IF(H197="","",IF(H197&gt;1,"RECONCILE","OK"))</f>
        <v/>
      </c>
      <c r="J197" s="18" t="str">
        <f aca="false">IF(G197="","",G197)</f>
        <v/>
      </c>
    </row>
    <row r="198" customFormat="false" ht="15" hidden="false" customHeight="false" outlineLevel="0" collapsed="false">
      <c r="A198" s="18" t="s">
        <v>269</v>
      </c>
      <c r="B198" s="18" t="n">
        <v>5</v>
      </c>
      <c r="C198" s="18" t="s">
        <v>311</v>
      </c>
      <c r="D198" s="18" t="str">
        <f aca="false">4_Scorer_A!G198</f>
        <v/>
      </c>
      <c r="E198" s="18" t="str">
        <f aca="false">4_Scorer_B!G198</f>
        <v/>
      </c>
      <c r="F198" s="18" t="str">
        <f aca="false">4_Scorer_C!G198</f>
        <v/>
      </c>
      <c r="G198" s="18" t="str">
        <f aca="false">IF(COUNT(D198:F198)=3,AVERAGE(D198:F198),"")</f>
        <v/>
      </c>
      <c r="H198" s="18" t="str">
        <f aca="false">IF(COUNT(D198:F198)=3,MAX(D198:F198)-MIN(D198:F198),"")</f>
        <v/>
      </c>
      <c r="I198" s="18" t="str">
        <f aca="false">IF(H198="","",IF(H198&gt;1,"RECONCILE","OK"))</f>
        <v/>
      </c>
      <c r="J198" s="18" t="str">
        <f aca="false">IF(G198="","",G198)</f>
        <v/>
      </c>
    </row>
    <row r="199" customFormat="false" ht="15" hidden="false" customHeight="false" outlineLevel="0" collapsed="false">
      <c r="A199" s="18" t="s">
        <v>269</v>
      </c>
      <c r="B199" s="18" t="n">
        <v>5</v>
      </c>
      <c r="C199" s="18" t="s">
        <v>312</v>
      </c>
      <c r="D199" s="18" t="str">
        <f aca="false">4_Scorer_A!G199</f>
        <v/>
      </c>
      <c r="E199" s="18" t="str">
        <f aca="false">4_Scorer_B!G199</f>
        <v/>
      </c>
      <c r="F199" s="18" t="str">
        <f aca="false">4_Scorer_C!G199</f>
        <v/>
      </c>
      <c r="G199" s="18" t="str">
        <f aca="false">IF(COUNT(D199:F199)=3,AVERAGE(D199:F199),"")</f>
        <v/>
      </c>
      <c r="H199" s="18" t="str">
        <f aca="false">IF(COUNT(D199:F199)=3,MAX(D199:F199)-MIN(D199:F199),"")</f>
        <v/>
      </c>
      <c r="I199" s="18" t="str">
        <f aca="false">IF(H199="","",IF(H199&gt;1,"RECONCILE","OK"))</f>
        <v/>
      </c>
      <c r="J199" s="18" t="str">
        <f aca="false">IF(G199="","",G199)</f>
        <v/>
      </c>
    </row>
    <row r="200" customFormat="false" ht="15" hidden="false" customHeight="false" outlineLevel="0" collapsed="false">
      <c r="A200" s="18" t="s">
        <v>269</v>
      </c>
      <c r="B200" s="18" t="n">
        <v>5</v>
      </c>
      <c r="C200" s="18" t="s">
        <v>313</v>
      </c>
      <c r="D200" s="18" t="str">
        <f aca="false">4_Scorer_A!G200</f>
        <v/>
      </c>
      <c r="E200" s="18" t="str">
        <f aca="false">4_Scorer_B!G200</f>
        <v/>
      </c>
      <c r="F200" s="18" t="str">
        <f aca="false">4_Scorer_C!G200</f>
        <v/>
      </c>
      <c r="G200" s="18" t="str">
        <f aca="false">IF(COUNT(D200:F200)=3,AVERAGE(D200:F200),"")</f>
        <v/>
      </c>
      <c r="H200" s="18" t="str">
        <f aca="false">IF(COUNT(D200:F200)=3,MAX(D200:F200)-MIN(D200:F200),"")</f>
        <v/>
      </c>
      <c r="I200" s="18" t="str">
        <f aca="false">IF(H200="","",IF(H200&gt;1,"RECONCILE","OK"))</f>
        <v/>
      </c>
      <c r="J200" s="18" t="str">
        <f aca="false">IF(G200="","",G200)</f>
        <v/>
      </c>
    </row>
    <row r="201" customFormat="false" ht="15" hidden="false" customHeight="false" outlineLevel="0" collapsed="false">
      <c r="A201" s="18" t="s">
        <v>269</v>
      </c>
      <c r="B201" s="18" t="n">
        <v>5</v>
      </c>
      <c r="C201" s="18" t="s">
        <v>314</v>
      </c>
      <c r="D201" s="18" t="str">
        <f aca="false">4_Scorer_A!G201</f>
        <v/>
      </c>
      <c r="E201" s="18" t="str">
        <f aca="false">4_Scorer_B!G201</f>
        <v/>
      </c>
      <c r="F201" s="18" t="str">
        <f aca="false">4_Scorer_C!G201</f>
        <v/>
      </c>
      <c r="G201" s="18" t="str">
        <f aca="false">IF(COUNT(D201:F201)=3,AVERAGE(D201:F201),"")</f>
        <v/>
      </c>
      <c r="H201" s="18" t="str">
        <f aca="false">IF(COUNT(D201:F201)=3,MAX(D201:F201)-MIN(D201:F201),"")</f>
        <v/>
      </c>
      <c r="I201" s="18" t="str">
        <f aca="false">IF(H201="","",IF(H201&gt;1,"RECONCILE","OK"))</f>
        <v/>
      </c>
      <c r="J201" s="18" t="str">
        <f aca="false">IF(G201="","",G201)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4" min="3" style="0" width="21"/>
    <col collapsed="false" customWidth="true" hidden="false" outlineLevel="0" max="6" min="5" style="0" width="24"/>
  </cols>
  <sheetData>
    <row r="1" customFormat="false" ht="30" hidden="false" customHeight="true" outlineLevel="0" collapsed="false">
      <c r="A1" s="6" t="s">
        <v>327</v>
      </c>
      <c r="B1" s="6"/>
      <c r="C1" s="6"/>
      <c r="D1" s="6"/>
      <c r="E1" s="6"/>
      <c r="F1" s="6"/>
    </row>
    <row r="3" customFormat="false" ht="15" hidden="false" customHeight="false" outlineLevel="0" collapsed="false">
      <c r="A3" s="0" t="s">
        <v>47</v>
      </c>
      <c r="B3" s="0" t="s">
        <v>311</v>
      </c>
      <c r="C3" s="0" t="s">
        <v>312</v>
      </c>
      <c r="D3" s="0" t="s">
        <v>313</v>
      </c>
      <c r="E3" s="0" t="s">
        <v>314</v>
      </c>
      <c r="F3" s="0" t="s">
        <v>328</v>
      </c>
    </row>
    <row r="4" customFormat="false" ht="15" hidden="false" customHeight="false" outlineLevel="0" collapsed="false">
      <c r="A4" s="18" t="n">
        <v>1</v>
      </c>
      <c r="B4" s="19" t="str">
        <f aca="false">IFERROR(AVERAGEIFS(5_Reconciled!$J:$J,5_Reconciled!$B:$B,$A4,5_Reconciled!$C:$C,B$3),"")</f>
        <v/>
      </c>
      <c r="C4" s="19" t="str">
        <f aca="false">IFERROR(AVERAGEIFS(5_Reconciled!$J:$J,5_Reconciled!$B:$B,$A4,5_Reconciled!$C:$C,C$3),"")</f>
        <v/>
      </c>
      <c r="D4" s="19" t="str">
        <f aca="false">IFERROR(AVERAGEIFS(5_Reconciled!$J:$J,5_Reconciled!$B:$B,$A4,5_Reconciled!$C:$C,D$3),"")</f>
        <v/>
      </c>
      <c r="E4" s="19" t="str">
        <f aca="false">IFERROR(AVERAGEIFS(5_Reconciled!$J:$J,5_Reconciled!$B:$B,$A4,5_Reconciled!$C:$C,E$3),"")</f>
        <v/>
      </c>
      <c r="F4" s="19" t="str">
        <f aca="false">IFERROR(E4-MAX(B4:D4),"")</f>
        <v/>
      </c>
    </row>
    <row r="5" customFormat="false" ht="15" hidden="false" customHeight="false" outlineLevel="0" collapsed="false">
      <c r="A5" s="18" t="n">
        <v>2</v>
      </c>
      <c r="B5" s="19" t="str">
        <f aca="false">IFERROR(AVERAGEIFS(5_Reconciled!$J:$J,5_Reconciled!$B:$B,$A5,5_Reconciled!$C:$C,B$3),"")</f>
        <v/>
      </c>
      <c r="C5" s="19" t="str">
        <f aca="false">IFERROR(AVERAGEIFS(5_Reconciled!$J:$J,5_Reconciled!$B:$B,$A5,5_Reconciled!$C:$C,C$3),"")</f>
        <v/>
      </c>
      <c r="D5" s="19" t="str">
        <f aca="false">IFERROR(AVERAGEIFS(5_Reconciled!$J:$J,5_Reconciled!$B:$B,$A5,5_Reconciled!$C:$C,D$3),"")</f>
        <v/>
      </c>
      <c r="E5" s="19" t="str">
        <f aca="false">IFERROR(AVERAGEIFS(5_Reconciled!$J:$J,5_Reconciled!$B:$B,$A5,5_Reconciled!$C:$C,E$3),"")</f>
        <v/>
      </c>
      <c r="F5" s="19" t="str">
        <f aca="false">IFERROR(E5-MAX(B5:D5),"")</f>
        <v/>
      </c>
    </row>
    <row r="6" customFormat="false" ht="15" hidden="false" customHeight="false" outlineLevel="0" collapsed="false">
      <c r="A6" s="18" t="n">
        <v>3</v>
      </c>
      <c r="B6" s="19" t="str">
        <f aca="false">IFERROR(AVERAGEIFS(5_Reconciled!$J:$J,5_Reconciled!$B:$B,$A6,5_Reconciled!$C:$C,B$3),"")</f>
        <v/>
      </c>
      <c r="C6" s="19" t="str">
        <f aca="false">IFERROR(AVERAGEIFS(5_Reconciled!$J:$J,5_Reconciled!$B:$B,$A6,5_Reconciled!$C:$C,C$3),"")</f>
        <v/>
      </c>
      <c r="D6" s="19" t="str">
        <f aca="false">IFERROR(AVERAGEIFS(5_Reconciled!$J:$J,5_Reconciled!$B:$B,$A6,5_Reconciled!$C:$C,D$3),"")</f>
        <v/>
      </c>
      <c r="E6" s="19" t="str">
        <f aca="false">IFERROR(AVERAGEIFS(5_Reconciled!$J:$J,5_Reconciled!$B:$B,$A6,5_Reconciled!$C:$C,E$3),"")</f>
        <v/>
      </c>
      <c r="F6" s="19" t="str">
        <f aca="false">IFERROR(E6-MAX(B6:D6),"")</f>
        <v/>
      </c>
    </row>
    <row r="7" customFormat="false" ht="15" hidden="false" customHeight="false" outlineLevel="0" collapsed="false">
      <c r="A7" s="18" t="n">
        <v>4</v>
      </c>
      <c r="B7" s="19" t="str">
        <f aca="false">IFERROR(AVERAGEIFS(5_Reconciled!$J:$J,5_Reconciled!$B:$B,$A7,5_Reconciled!$C:$C,B$3),"")</f>
        <v/>
      </c>
      <c r="C7" s="19" t="str">
        <f aca="false">IFERROR(AVERAGEIFS(5_Reconciled!$J:$J,5_Reconciled!$B:$B,$A7,5_Reconciled!$C:$C,C$3),"")</f>
        <v/>
      </c>
      <c r="D7" s="19" t="str">
        <f aca="false">IFERROR(AVERAGEIFS(5_Reconciled!$J:$J,5_Reconciled!$B:$B,$A7,5_Reconciled!$C:$C,D$3),"")</f>
        <v/>
      </c>
      <c r="E7" s="19" t="str">
        <f aca="false">IFERROR(AVERAGEIFS(5_Reconciled!$J:$J,5_Reconciled!$B:$B,$A7,5_Reconciled!$C:$C,E$3),"")</f>
        <v/>
      </c>
      <c r="F7" s="19" t="str">
        <f aca="false">IFERROR(E7-MAX(B7:D7),"")</f>
        <v/>
      </c>
    </row>
    <row r="8" customFormat="false" ht="15" hidden="false" customHeight="false" outlineLevel="0" collapsed="false">
      <c r="A8" s="18" t="n">
        <v>5</v>
      </c>
      <c r="B8" s="19" t="str">
        <f aca="false">IFERROR(AVERAGEIFS(5_Reconciled!$J:$J,5_Reconciled!$B:$B,$A8,5_Reconciled!$C:$C,B$3),"")</f>
        <v/>
      </c>
      <c r="C8" s="19" t="str">
        <f aca="false">IFERROR(AVERAGEIFS(5_Reconciled!$J:$J,5_Reconciled!$B:$B,$A8,5_Reconciled!$C:$C,C$3),"")</f>
        <v/>
      </c>
      <c r="D8" s="19" t="str">
        <f aca="false">IFERROR(AVERAGEIFS(5_Reconciled!$J:$J,5_Reconciled!$B:$B,$A8,5_Reconciled!$C:$C,D$3),"")</f>
        <v/>
      </c>
      <c r="E8" s="19" t="str">
        <f aca="false">IFERROR(AVERAGEIFS(5_Reconciled!$J:$J,5_Reconciled!$B:$B,$A8,5_Reconciled!$C:$C,E$3),"")</f>
        <v/>
      </c>
      <c r="F8" s="19" t="str">
        <f aca="false">IFERROR(E8-MAX(B8:D8),"")</f>
        <v/>
      </c>
    </row>
    <row r="9" customFormat="false" ht="15" hidden="false" customHeight="false" outlineLevel="0" collapsed="false">
      <c r="A9" s="20" t="s">
        <v>329</v>
      </c>
      <c r="B9" s="21" t="str">
        <f aca="false">IFERROR(AVERAGE(B4:B8),"")</f>
        <v/>
      </c>
      <c r="C9" s="21" t="str">
        <f aca="false">IFERROR(AVERAGE(C4:C8),"")</f>
        <v/>
      </c>
      <c r="D9" s="21" t="str">
        <f aca="false">IFERROR(AVERAGE(D4:D8),"")</f>
        <v/>
      </c>
      <c r="E9" s="21" t="str">
        <f aca="false">IFERROR(AVERAGE(E4:E8),"")</f>
        <v/>
      </c>
      <c r="F9" s="21" t="str">
        <f aca="false">IFERROR(E9-MAX(B9:D9),"")</f>
        <v/>
      </c>
    </row>
    <row r="11" customFormat="false" ht="23.85" hidden="false" customHeight="true" outlineLevel="0" collapsed="false">
      <c r="A11" s="22" t="s">
        <v>330</v>
      </c>
      <c r="B11" s="22"/>
      <c r="C11" s="22"/>
      <c r="D11" s="22"/>
      <c r="E11" s="22"/>
      <c r="F11" s="22"/>
    </row>
  </sheetData>
  <mergeCells count="1">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2026-09-26T20:08:50Z</dcterms:created>
  <dc:creator>openpyxl</dc:creator>
  <dc:description/>
  <dc:language>en-US</dc:language>
  <cp:lastModifiedBy/>
  <dcterms:modified xsi:type="dcterms:W3CDTF">2026-09-26T20:08:50Z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