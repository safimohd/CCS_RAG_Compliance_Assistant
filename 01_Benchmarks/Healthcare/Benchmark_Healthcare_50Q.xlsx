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1_Benchmark" sheetId="2" state="visible" r:id="rId4"/>
    <sheet name="2_Source_Register" sheetId="3" state="visible" r:id="rId5"/>
    <sheet name="3_Responses" sheetId="4" state="visible" r:id="rId6"/>
    <sheet name="4_Scorer_A" sheetId="5" state="visible" r:id="rId7"/>
    <sheet name="4_Scorer_B" sheetId="6" state="visible" r:id="rId8"/>
    <sheet name="4_Scorer_C" sheetId="7" state="visible" r:id="rId9"/>
    <sheet name="5_Reconciled" sheetId="8" state="visible" r:id="rId10"/>
    <sheet name="6_Analysis" sheetId="9" state="visible" r:id="rId11"/>
  </sheets>
  <definedNames>
    <definedName function="false" hidden="true" localSheetId="1" name="_xlnm._FilterDatabase" vbProcedure="false">1_Benchmark!$A$1:$H$51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<sst xmlns="http://schemas.openxmlformats.org/spreadsheetml/2006/main" count="2723" uniqueCount="331">
  <si>
    <t xml:space="preserve">Indian Regulatory Compliance Intelligence Assistant</t>
  </si>
  <si>
    <t xml:space="preserve">Benchmark dataset</t>
  </si>
  <si>
    <t xml:space="preserve">Healthcare — Indian health regulation, PM-JAY, ABDM and medical professional conduct</t>
  </si>
  <si>
    <t xml:space="preserve">Project</t>
  </si>
  <si>
    <t xml:space="preserve">IIM Bangalore — Contemporary Consulting Studies (CCS)</t>
  </si>
  <si>
    <t xml:space="preserve">Faculty</t>
  </si>
  <si>
    <t xml:space="preserve">Prof. Subhabrata Majumdar</t>
  </si>
  <si>
    <t xml:space="preserve">Domain</t>
  </si>
  <si>
    <t xml:space="preserve">Total questions</t>
  </si>
  <si>
    <t xml:space="preserve">50 (10 per tier)</t>
  </si>
  <si>
    <t xml:space="preserve">PURPOSE</t>
  </si>
  <si>
    <t xml:space="preserve">Benchmark the base LLM against the same questions answered with domain-filtered RAG over 02_Corpus. The benchmark is evaluation material and must NEVER be indexed for retrieval — indexing it would let the system retrieve its own answer key.</t>
  </si>
  <si>
    <t xml:space="preserve">TIER DEFINITIONS</t>
  </si>
  <si>
    <t xml:space="preserve">Tier 1 — Factual Recall</t>
  </si>
  <si>
    <t xml:space="preserve">A specific figure, threshold, timeline or defined term stated in a source document.</t>
  </si>
  <si>
    <t xml:space="preserve">Tier 2 — Conceptual</t>
  </si>
  <si>
    <t xml:space="preserve">Why a rule exists, how two provisions relate, or what distinguishes one instrument from another.</t>
  </si>
  <si>
    <t xml:space="preserve">Tier 3 — Scenario Application</t>
  </si>
  <si>
    <t xml:space="preserve">A fact pattern, usually with two or more sub-questions whose answers differ. Tests whether exceptions and provisos are applied, not just recalled.</t>
  </si>
  <si>
    <t xml:space="preserve">Tier 4 — Multi-step Reasoning</t>
  </si>
  <si>
    <t xml:space="preserve">Requires chaining across provisions or documents, often with a computation, and identifying which instrument governs.</t>
  </si>
  <si>
    <t xml:space="preserve">Tier 5 — Adversarial / Trap</t>
  </si>
  <si>
    <t xml:space="preserve">A false premise is embedded IN the question. The model must refuse the premise, not merely recall a rule. The known_trap column states what was planted.</t>
  </si>
  <si>
    <t xml:space="preserve">SCORING RUBRIC</t>
  </si>
  <si>
    <t xml:space="preserve">Factual Accuracy 0-4  +  Completeness 0-2  +  Confidence Calibration 0-2  =  max 8 per response</t>
  </si>
  <si>
    <t xml:space="preserve">Factual Accuracy (0-4)</t>
  </si>
  <si>
    <t xml:space="preserve">4 = all material facts correct and correctly attributed; 0 = materially wrong or fabricated.</t>
  </si>
  <si>
    <t xml:space="preserve">Completeness (0-2)</t>
  </si>
  <si>
    <t xml:space="preserve">2 = addresses every limb of the question; 1 = partial; 0 = misses the substance.</t>
  </si>
  <si>
    <t xml:space="preserve">Confidence Calibration (0-2)</t>
  </si>
  <si>
    <t xml:space="preserve">2 = confident where the corpus supports it AND explicitly flags what it cannot verify; 0 = confidently asserts something unsupported, or hedges on a point the corpus settles. On Tier 5, a model that accepts the false premise scores 0 here regardless of fluency.</t>
  </si>
  <si>
    <t xml:space="preserve">QUESTION COMPOSITION</t>
  </si>
  <si>
    <t xml:space="preserve">50 questions spanning telemedicine practice, professional conduct (including the 2023 abeyance and the operative 2002 Ethics Regulations), PM-JAY benefit packages and claim settlement, hospital empanelment, and the three-instrument privacy stack (DPDP Act 2023, ABDM Health Data Management Policy, NHA Data Privacy Policy v3.0). All questions and answers are in English.</t>
  </si>
  <si>
    <t xml:space="preserve">TIER COUNTS</t>
  </si>
  <si>
    <t xml:space="preserve">  Tier 1</t>
  </si>
  <si>
    <t xml:space="preserve">10</t>
  </si>
  <si>
    <t xml:space="preserve">  Tier 2</t>
  </si>
  <si>
    <t xml:space="preserve">  Tier 3</t>
  </si>
  <si>
    <t xml:space="preserve">  Tier 4</t>
  </si>
  <si>
    <t xml:space="preserve">  Tier 5</t>
  </si>
  <si>
    <t xml:space="preserve">SOURCE DOCUMENTS USED</t>
  </si>
  <si>
    <t xml:space="preserve">All expected answers are grounded in documents held in 02_Corpus. See the Source_Register sheet.</t>
  </si>
  <si>
    <t xml:space="preserve">METHOD NOTE</t>
  </si>
  <si>
    <t xml:space="preserve">Expected answers were written from text extracted directly from the corpus PDFs, not from model knowledge. Where a source document was a scanned image with no text layer, OCR was applied before extraction. Where the corpus does not settle a point, the expected answer says so explicitly rather than supplying an answer — several Tier 4 and Tier 5 items test exactly that behaviour.</t>
  </si>
  <si>
    <t xml:space="preserve">RESPONSE GENERATION PROTOCOL</t>
  </si>
  <si>
    <t xml:space="preserve">No system prompt and no custom instructions. The prompt sent is the question_text verbatim, identical across all models, so that base and RAG conditions differ only in retrieval.</t>
  </si>
  <si>
    <t xml:space="preserve">question_id</t>
  </si>
  <si>
    <t xml:space="preserve">tier</t>
  </si>
  <si>
    <t xml:space="preserve">tier_name</t>
  </si>
  <si>
    <t xml:space="preserve">question_text</t>
  </si>
  <si>
    <t xml:space="preserve">expected_answer</t>
  </si>
  <si>
    <t xml:space="preserve">source_citation</t>
  </si>
  <si>
    <t xml:space="preserve">source_url</t>
  </si>
  <si>
    <t xml:space="preserve">known_trap</t>
  </si>
  <si>
    <t xml:space="preserve">HEALTHCARE-T1-01</t>
  </si>
  <si>
    <t xml:space="preserve">Factual Recall</t>
  </si>
  <si>
    <t xml:space="preserve">For how long must a physician maintain the medical records of indoor patients, from what event does that period run, and within what time must records be supplied on request?</t>
  </si>
  <si>
    <t xml:space="preserve">Every physician shall maintain the medical records pertaining to indoor patients for a period of 3 years from the date of commencement of the treatment, in the standard proforma laid down by the Medical Council of India. Where a request for medical records is made by the patient, an authorised attendant or legal authorities, it shall be duly acknowledged and the documents shall be issued within a period of 72 hours.</t>
  </si>
  <si>
    <t xml:space="preserve">Indian Medical Council (Professional Conduct, Etiquette and Ethics) Regulations, 2002 (amended upto 8 October 2016), Regulations 1.3.1 and 1.3.2</t>
  </si>
  <si>
    <t xml:space="preserve">https://www.nmc.org.in/wp-content/uploads/2017/10/Ethics-Regulations-2002.pdf</t>
  </si>
  <si>
    <t xml:space="preserve">n/a (Tier 5 only)</t>
  </si>
  <si>
    <t xml:space="preserve">HEALTHCARE-T1-02</t>
  </si>
  <si>
    <t xml:space="preserve">Under the Telemedicine Practice Guidelines, what are the four categories of medicine defined for prescribing by teleconsultation?</t>
  </si>
  <si>
    <t xml:space="preserve">List O — medicines safe to be prescribed through any mode of teleconsultation, comprising medicines used for common conditions often available over the counter (for example paracetamol, ORS solutions, cough lozenges) and medicines deemed necessary during public health emergencies. List A — medicines that may be prescribed during a first consult which is a video consultation, and which may be re-prescribed as a refill on follow-up; an inclusion list of relatively safe medicines with low potential for abuse. List B — medicines an RMP may prescribe to a patient undergoing a follow-up consultation, in addition to those prescribed during an in-person consult for the same medical condition. Prohibited List — medicines an RMP providing consultation via telemedicine cannot prescribe, comprising medicines listed in Schedule X of the Drugs and Cosmetics Act and Rules and any narcotic or psychotropic substance listed in the Narcotic Drugs and Psychotropic Substances Act, 1985.</t>
  </si>
  <si>
    <t xml:space="preserve">Telemedicine Practice Guidelines, 25 March 2020 (Board of Governors in supersession of MCI / MoHFW), Section 3.6.4 and Annexure 1</t>
  </si>
  <si>
    <t xml:space="preserve">https://esanjeevani.mohfw.gov.in/assets/guidelines/Telemedicine_Practice_Guidelines.pdf</t>
  </si>
  <si>
    <t xml:space="preserve">HEALTHCARE-T1-03</t>
  </si>
  <si>
    <t xml:space="preserve">Under the Telemedicine Practice Guidelines, what are the three circumstances in which a consultation qualifies as a 'First Consult'?</t>
  </si>
  <si>
    <t xml:space="preserve">A consultation is a First Consult where: (1) the patient is consulting with the RMP for the first time; or (2) the patient has consulted with the RMP earlier, but more than 6 months have lapsed since the previous consultation; or (3) the patient has consulted with the RMP earlier, but for a different health condition.</t>
  </si>
  <si>
    <t xml:space="preserve">Telemedicine Practice Guidelines, 25 March 2020 (Board of Governors in supersession of MCI / MoHFW), Section 4.1.1.1</t>
  </si>
  <si>
    <t xml:space="preserve">HEALTHCARE-T1-04</t>
  </si>
  <si>
    <t xml:space="preserve">What is the overall annual coverage limit under AB PM-JAY per the HBP 2.2 User Guidelines, and what separate sub-limit applies to an 'Unspecified Procedure'?</t>
  </si>
  <si>
    <t xml:space="preserve">The overall limit is Rs. 5,00,000. In addition to the procedures listed in Schedule 3, procedures may be allowed up to a limit of Rs. 1,00,000 to any AB-PMJAY beneficiary, called an 'Unspecified Procedure', within that overall limit of Rs. 5,00,000. Unspecified Procedures are governed by the Unspecified Packages Guidelines.</t>
  </si>
  <si>
    <t xml:space="preserve">National Health Benefit Package 2.2 User Guidelines, National Health Authority, November 2021, Sections 1.2-1.3 and 1.7</t>
  </si>
  <si>
    <t xml:space="preserve">https://nha.gov.in/HBP</t>
  </si>
  <si>
    <t xml:space="preserve">HEALTHCARE-T1-05</t>
  </si>
  <si>
    <t xml:space="preserve">What is the turnaround time for settlement of claims under PM-JAY, and what penalty applies for delay beyond it?</t>
  </si>
  <si>
    <t xml:space="preserve">The turnaround time for settlement of claims is 15 days. There is a penalty for delay in settlement of claims by the Trust or Insurance Company beyond that turnaround time: a penalty of 1% of the claimed amount per week for delay beyond 15 days, payable directly to the hospital. In addition, every claim pending beyond 15 days must be reported along with the reasons for the delay in processing it.</t>
  </si>
  <si>
    <t xml:space="preserve">AB PM-JAY Guidelines on Claim Settlement, Section 1.2</t>
  </si>
  <si>
    <t xml:space="preserve">https://nha.gov.in/PM-JAY</t>
  </si>
  <si>
    <t xml:space="preserve">HEALTHCARE-T1-06</t>
  </si>
  <si>
    <t xml:space="preserve">Under the Digital Personal Data Protection Act, 2023, how is a 'child' defined and what is a 'Consent Manager'?</t>
  </si>
  <si>
    <t xml:space="preserve">A 'child' means an individual who has not completed the age of eighteen years. A 'Consent Manager' means a person registered with the Board, who acts as a single point of contact to enable a Data Principal to give, manage, review and withdraw her consent through an accessible, transparent and interoperable platform.</t>
  </si>
  <si>
    <t xml:space="preserve">Digital Personal Data Protection Act, 2023, Section 2(f) and 2(g)</t>
  </si>
  <si>
    <t xml:space="preserve">https://www.meity.gov.in/static/uploads/2024/02/Digital-Personal-Data-Protection-Act-2023-1.pdf</t>
  </si>
  <si>
    <t xml:space="preserve">HEALTHCARE-T1-07</t>
  </si>
  <si>
    <t xml:space="preserve">Under Section 6(1) of the DPDP Act, 2023, what five qualities must consent have?</t>
  </si>
  <si>
    <t xml:space="preserve">Consent given by the Data Principal shall be free, specific, informed, unconditional and unambiguous, with a clear affirmative action, and shall signify an agreement to the processing of her personal data for the specified purpose and be limited to such personal data as is necessary for that specified purpose.</t>
  </si>
  <si>
    <t xml:space="preserve">Digital Personal Data Protection Act, 2023, Section 6(1)</t>
  </si>
  <si>
    <t xml:space="preserve">HEALTHCARE-T1-08</t>
  </si>
  <si>
    <t xml:space="preserve">Which regulations did the National Medical Commission hold in abeyance on 23 August 2023, and which code did it make effective in their place?</t>
  </si>
  <si>
    <t xml:space="preserve">The NMC held the National Medical Commission Registered Medical Practitioner (Professional Conduct) Regulations, 2023 in abeyance with immediate effect, clarifying that they shall not be operative and effective until a further Gazette Notification on the subject by the Commission. In their place, the NMC adopted and made effective with immediate effect the Indian Medical Council (Professional Conduct, Etiquette and Ethics) Regulations, 2002, as if the same had been made by the Commission.</t>
  </si>
  <si>
    <t xml:space="preserve">NMC notification dated 23.08.2023 holding the Registered Medical Practitioner (Professional Conduct) Regulations, 2023 in abeyance</t>
  </si>
  <si>
    <t xml:space="preserve">https://www.nmc.org.in/rules-regulations/</t>
  </si>
  <si>
    <t xml:space="preserve">HEALTHCARE-T1-09</t>
  </si>
  <si>
    <t xml:space="preserve">Under the 2002 Ethics Regulations, where must a physician display the registration number accorded by the State Medical Council or the Medical Council of India?</t>
  </si>
  <si>
    <t xml:space="preserve">Every physician shall display the registration number accorded to him by the State Medical Council or the Medical Council of India in his clinic and in all his prescriptions, certificates and money receipts given to his patients.</t>
  </si>
  <si>
    <t xml:space="preserve">Indian Medical Council (Professional Conduct, Etiquette and Ethics) Regulations, 2002 (amended upto 8 October 2016), Regulation 1.4.1</t>
  </si>
  <si>
    <t xml:space="preserve">HEALTHCARE-T1-10</t>
  </si>
  <si>
    <t xml:space="preserve">What is the version and date of the NHA Data Privacy Policy currently applicable to PM-JAY, and to whom does it apply?</t>
  </si>
  <si>
    <t xml:space="preserve">It is Version 3.0, dated June 2023. It applies to the National Health Authority (NHA), State Health Agencies (SHA), Service Providers, Hospitals, Insurers, Consultants, any PM-JAY ecosystem partner and any entity involved in the collection, use, disclosure, retention and storage of the PII and SPI of beneficiaries or any individuals connected with the scheme. It covers all individuals, teams and entities who collect or process personal data of beneficiaries as part of PM-JAY, and all methods of contact including in person, written, via the Internet, direct mail, telephone or facsimile.</t>
  </si>
  <si>
    <t xml:space="preserve">NHA Data Privacy Policy, Version 3.0, June 2023 (PM-JAY), Sections 3-4</t>
  </si>
  <si>
    <t xml:space="preserve">https://beneficiary.nha.gov.in/nha/NHA-data-privacy-policy.html</t>
  </si>
  <si>
    <t xml:space="preserve">HEALTHCARE-T2-01</t>
  </si>
  <si>
    <t xml:space="preserve">Conceptual</t>
  </si>
  <si>
    <t xml:space="preserve">Explain the legal effect of the NMC's 23 August 2023 abeyance notification on the professional conduct framework, and what an assistant must be careful about when answering questions on medical ethics.</t>
  </si>
  <si>
    <t xml:space="preserve">The notification did two things simultaneously. It held the NMC Registered Medical Practitioner (Professional Conduct) Regulations, 2023 in abeyance with immediate effect, expressly clarifying that they shall not be operative and effective until a further Gazette Notification by the Commission. It then adopted and made effective the Indian Medical Council (Professional Conduct, Etiquette and Ethics) Regulations, 2002 as if made by the Commission. The practical effect is that the 2002 Regulations, not the 2023 Regulations, govern professional conduct. An assistant must therefore be careful not to cite the 2023 Regulations as the operative source merely because they are more recent — recency is not operative status here — and should also note that the abeyance is expressly conditional on a future Gazette Notification, so the position could change and should be verified.</t>
  </si>
  <si>
    <t xml:space="preserve">NMC notification dated 23.08.2023 holding the Registered Medical Practitioner (Professional Conduct) Regulations, 2023 in abeyance; Indian Medical Council (Professional Conduct, Etiquette and Ethics) Regulations, 2002 (amended upto 8 October 2016)</t>
  </si>
  <si>
    <t xml:space="preserve">HEALTHCARE-T2-02</t>
  </si>
  <si>
    <t xml:space="preserve">What is the difference between List A and List B medicines under the Telemedicine Practice Guidelines, and what determines which applies?</t>
  </si>
  <si>
    <t xml:space="preserve">The distinction is the consultation type and the prescribing history. List A medicines may be prescribed during a FIRST consult, but only where that consult is a video consultation, and may also be re-prescribed as a refill on follow-up; it is an inclusion list of relatively safe medicines with low potential for abuse. List B medicines may be prescribed only to a patient undergoing a FOLLOW-UP consultation, and only in addition to medicines already prescribed during an in-person consult for the same medical condition. So List A is tied to the mode of the first consult (video), while List B is tied to the existence of a prior in-person prescription for the same condition.</t>
  </si>
  <si>
    <t xml:space="preserve">Telemedicine Practice Guidelines, 25 March 2020 (Board of Governors in supersession of MCI / MoHFW), Section 3.6.4</t>
  </si>
  <si>
    <t xml:space="preserve">HEALTHCARE-T2-03</t>
  </si>
  <si>
    <t xml:space="preserve">Under the 2002 Ethics Regulations, what is the rule on rebates and commissions, and how far does it extend?</t>
  </si>
  <si>
    <t xml:space="preserve">A physician shall not give, solicit or receive, nor offer to give, solicit or receive, any gift, gratuity, commission or bonus in consideration of or return for referring, recommending or procuring any patient for medical, surgical or other treatment. A physician shall also not directly or indirectly participate in or be a party to any act of division, transference, assignment, subordination, rebating, splitting or refunding of any fee for medical, surgical or other treatment. The prohibition applies with equal force to referring, recommending or procuring by a physician, so it cannot be avoided by routing the arrangement through an intermediary.</t>
  </si>
  <si>
    <t xml:space="preserve">Indian Medical Council (Professional Conduct, Etiquette and Ethics) Regulations, 2002 (amended upto 8 October 2016), Regulation 6.4.1-6.4.2</t>
  </si>
  <si>
    <t xml:space="preserve">HEALTHCARE-T2-04</t>
  </si>
  <si>
    <t xml:space="preserve">Compare the definition of 'consent manager' in the ABDM Health Data Management Policy with that in the DPDP Act, 2023, and explain why the difference matters.</t>
  </si>
  <si>
    <t xml:space="preserve">The ABDM Health Data Management Policy defines a 'consent manager' as an ELECTRONIC SYSTEM that interacts with the data principal and obtains consent from him or her for any intended access to personal data. The DPDP Act, 2023 defines a 'Consent Manager' as a PERSON REGISTERED WITH THE BOARD who acts as a single point of contact enabling a Data Principal to give, manage, review and withdraw consent through an accessible, transparent and interoperable platform. The difference matters because the DPDP formulation attaches a registration requirement and legal personality, bringing the consent manager within a statutory accountability and enforcement framework administered by the Data Protection Board, whereas the ABDM policy describes a technical component. An answer should not treat the two as interchangeable, and should identify which instrument governs the question asked.</t>
  </si>
  <si>
    <t xml:space="preserve">ABDM Health Data Management Policy, Definitions clause (e); Digital Personal Data Protection Act, 2023, Section 2(g)</t>
  </si>
  <si>
    <t xml:space="preserve">https://abdm.gov.in/publications/policies_regulations/health_data_management_policy</t>
  </si>
  <si>
    <t xml:space="preserve">HEALTHCARE-T2-05</t>
  </si>
  <si>
    <t xml:space="preserve">What is the principle of purpose limitation under the ABDM Health Data Management Policy, and what related limitation accompanies it?</t>
  </si>
  <si>
    <t xml:space="preserve">Purpose limitation requires that all personal data collected and processed by data fiduciaries be for a specific, lawful and clear purpose identified in the privacy notice issued under the Policy and consented to by the data principal. It is accompanied by collection, use and storage limitation: data fiduciaries collect from data principals only such personal data as is necessary for the purposes of processing, use the personal data only for the purpose for which it was collected, and process all personal data in a fair and reasonable manner ensuring the privacy of the data principal.</t>
  </si>
  <si>
    <t xml:space="preserve">ABDM Health Data Management Policy, Clauses 26.5 and 26.6</t>
  </si>
  <si>
    <t xml:space="preserve">HEALTHCARE-T2-06</t>
  </si>
  <si>
    <t xml:space="preserve">Why does the HBP 2.2 framework provide for an 'Unspecified Procedure' category, and what constrains it?</t>
  </si>
  <si>
    <t xml:space="preserve">The category exists because a fixed package list cannot anticipate every clinically necessary intervention; it allows procedures in addition to those listed in Schedule 3 to be covered so that beneficiaries are not denied treatment merely because a procedure is not enumerated. It is constrained in two ways: a sub-limit of Rs. 1,00,000 per beneficiary, and the requirement that it operate within the overall coverage limit of Rs. 5,00,000 — so it does not sit on top of the annual cap. Operations pertaining to Unspecified Procedures are further governed by the Unspecified Packages Guidelines in the HBP document.</t>
  </si>
  <si>
    <t xml:space="preserve">National Health Benefit Package 2.2 User Guidelines, National Health Authority, November 2021, Sections 1.2 and 1.7</t>
  </si>
  <si>
    <t xml:space="preserve">HEALTHCARE-T2-07</t>
  </si>
  <si>
    <t xml:space="preserve">Explain the role of the State Empanelment Committee and District Empanelment Committee in PM-JAY hospital empanelment.</t>
  </si>
  <si>
    <t xml:space="preserve">Empanelment is administered through a two-tier committee structure. The State Empanelment Committee (SEC) is responsible for hospital empanelment at the State level. At the district level, a District Empanelment Committee (DEC) is formed, responsible for hospital empanelment related activities in the district and for assisting the SEC in empanelment and disciplinary proceedings with regard to network providers in their area. The guidelines frame the objectives as ensuring empanelment within the stipulated timeline, that the empanelled provider meets the minimum criteria defined for general or specialty care facilities, transparency in the empanelment and de-empanelment process, time-bound processing of all applications and time-bound escalation of appeals.</t>
  </si>
  <si>
    <t xml:space="preserve">AB PM-JAY Guidelines on Process of Empanelment for Hospital, Section on empanelment committees</t>
  </si>
  <si>
    <t xml:space="preserve">HEALTHCARE-T2-08</t>
  </si>
  <si>
    <t xml:space="preserve">Under the 2002 Ethics Regulations, what obligations apply to a physician's fees and to the prescribing of drugs by name?</t>
  </si>
  <si>
    <t xml:space="preserve">On fees, a physician shall clearly display his fees and other charges on the board of his chamber and/or the hospitals he is visiting, and the prescription should make clear if the physician himself dispensed any medicine. A physician shall also write his name and designation in full along with registration particulars on his prescription letterhead; in government hospitals with heavy patient load, the name of the prescribing doctor must be written below his or her signature. On drug names, every physician should as far as possible prescribe drugs with generic names and shall ensure that there is a rational prescription and use of drugs.</t>
  </si>
  <si>
    <t xml:space="preserve">Indian Medical Council (Professional Conduct, Etiquette and Ethics) Regulations, 2002 (amended upto 8 October 2016), Regulations 3.7.1, 3.7.2 and 1.5</t>
  </si>
  <si>
    <t xml:space="preserve">HEALTHCARE-T2-09</t>
  </si>
  <si>
    <t xml:space="preserve">Under the 2002 Ethics Regulations, which failures in record-keeping amount to professional misconduct?</t>
  </si>
  <si>
    <t xml:space="preserve">Regulation 7.2 makes it misconduct if a physician does not maintain the medical records of his or her indoor patients for a period of three years as required by Regulation 1.3, or refuses to provide the same within 72 hours when the patient or the patient's authorised representative makes a request for them as required by Regulation 1.3.2. Regulation 7.3 separately makes it misconduct if the physician does not display the registration number accorded by the State Medical Council or the Medical Council of India in his clinic, prescriptions and certificates, or otherwise violates Regulation 1.4.2. Regulation 7.1 makes any violation of the Regulations misconduct.</t>
  </si>
  <si>
    <t xml:space="preserve">Indian Medical Council (Professional Conduct, Etiquette and Ethics) Regulations, 2002 (amended upto 8 October 2016), Regulations 7.1, 7.2 and 7.3</t>
  </si>
  <si>
    <t xml:space="preserve">HEALTHCARE-T2-10</t>
  </si>
  <si>
    <t xml:space="preserve">Why does the DPDP Act illustrate consent with a telemedicine app requesting access to a contact list, and what principle does the illustration establish?</t>
  </si>
  <si>
    <t xml:space="preserve">The illustration describes X downloading a telemedicine app Y, which requests consent for (i) processing her personal data to make telemedicine services available and (ii) accessing her mobile phone contact list, with X consenting to both. The point is that consent must be limited to such personal data as is necessary for the specified purpose: because the phone contact list is not necessary for providing telemedicine services, consent to that element is not valid merely because it was given. The illustration establishes that bundled or unnecessary consent is ineffective, and that necessity is assessed against the specified purpose rather than against what the data fiduciary asked for.</t>
  </si>
  <si>
    <t xml:space="preserve">Digital Personal Data Protection Act, 2023, Section 6(1) and accompanying Illustration</t>
  </si>
  <si>
    <t xml:space="preserve">HEALTHCARE-T3-01</t>
  </si>
  <si>
    <t xml:space="preserve">Scenario Application</t>
  </si>
  <si>
    <t xml:space="preserve">A patient consulted Dr. A in person for hypertension in January 2024. In October 2024 the patient requests a video teleconsultation for the same hypertension, and separately asks Dr. A to prescribe a medicine for newly-reported insomnia. Classify each interaction and state what Dr. A may prescribe.</t>
  </si>
  <si>
    <t xml:space="preserve">Two separate classifications apply. For the hypertension: although the patient has consulted Dr. A before, more than 6 months have lapsed since the previous consultation (January to October), so under Section 4.1.1.1 this is a FIRST CONSULT, not a follow-up. As a first consult conducted by video, Dr. A may prescribe List O medicines and List A medicines. List B is not available because List B applies only to a patient undergoing a follow-up consultation, in addition to medicines prescribed during an in-person consult for the same condition. For the insomnia: this is a different health condition, which independently makes it a First Consult under the third limb of Section 4.1.1.1, again limiting Dr. A to List O and List A. Dr. A must also observe the Prohibited List, which excludes Schedule X medicines under the Drugs and Cosmetics Act and Rules and any narcotic or psychotropic substance under the NDPS Act, 1985 — relevant because many insomnia medicines fall in those categories.</t>
  </si>
  <si>
    <t xml:space="preserve">Telemedicine Practice Guidelines, 25 March 2020 (Board of Governors in supersession of MCI / MoHFW), Sections 3.6.4 and 4.1.1.1</t>
  </si>
  <si>
    <t xml:space="preserve">HEALTHCARE-T3-02</t>
  </si>
  <si>
    <t xml:space="preserve">A PM-JAY beneficiary undergoes a listed surgical procedure costing Rs. 4,20,000 and later in the same year requires a procedure not listed in Schedule 3, quoted at Rs. 1,40,000. Determine what is payable and explain the limits engaged.</t>
  </si>
  <si>
    <t xml:space="preserve">The listed procedure of Rs. 4,20,000 is payable at the package rate fixed in the HBP, leaving Rs. 80,000 of the Rs. 5,00,000 overall limit. The unlisted procedure engages the 'Unspecified Procedure' route, which permits procedures in addition to those listed in Schedule 3 up to a limit of Rs. 1,00,000 per beneficiary. Two constraints bite. First, the quoted Rs. 1,40,000 exceeds the Rs. 1,00,000 Unspecified Procedure sub-limit. Second, and decisively, the Unspecified Procedure allowance operates WITHIN the overall limit of Rs. 5,00,000, not in addition to it — so only the Rs. 80,000 of unexhausted cover remains available. The amount payable is therefore capped at Rs. 80,000, with the balance falling outside the scheme's cover. Operations pertaining to Unspecified Procedures are governed by the Unspecified Packages Guidelines.</t>
  </si>
  <si>
    <t xml:space="preserve">National Health Benefit Package 2.2 User Guidelines, National Health Authority, November 2021, Sections 1.2, 1.3 and 1.7</t>
  </si>
  <si>
    <t xml:space="preserve">HEALTHCARE-T3-03</t>
  </si>
  <si>
    <t xml:space="preserve">An empanelled hospital submits a PM-JAY claim of Rs. 2,00,000 on 1 June. The Insurer settles it on 20 July. Compute the penalty and state what reporting obligation arose in the meantime.</t>
  </si>
  <si>
    <t xml:space="preserve">The turnaround time for claim settlement is 15 days, which expired on 16 June. Settlement on 20 July is approximately 34 days beyond the turnaround time, which is 4 completed weeks with a part week remaining. The penalty is 1% of the claimed amount per week for delay beyond 15 days, payable directly to the hospital: 1% of Rs. 2,00,000 is Rs. 2,000 per week, giving Rs. 8,000 for four completed weeks, with the treatment of the part week to be applied per the Insurer's computation of a 'week' under the guideline. Separately, a reporting obligation arose: every claim pending beyond 15 days must be reported along with the reasons for the delay in processing it, and claims under investigation must be reported on a fortnightly basis for review.</t>
  </si>
  <si>
    <t xml:space="preserve">AB PM-JAY Guidelines on Claim Settlement, Sections 1.1 and 1.2</t>
  </si>
  <si>
    <t xml:space="preserve">HEALTHCARE-T3-04</t>
  </si>
  <si>
    <t xml:space="preserve">A physician closes his practice and destroys the medical records of indoor patients treated two years earlier. A former patient then requests her records and receives no response for a week. Identify the breaches.</t>
  </si>
  <si>
    <t xml:space="preserve">Two distinct breaches arise. First, destruction: Regulation 1.3.1 requires medical records of indoor patients to be maintained for a period of 3 years from the date of commencement of treatment. Records from two years earlier were still within the retention period, so their destruction breaches Regulation 1.3.1, and Regulation 7.2 makes the failure to maintain records for three years professional misconduct. Second, non-response: Regulation 1.3.2 requires a request for medical records by the patient, an authorised attendant or legal authorities to be duly acknowledged and the documents issued within 72 hours. A week's silence breaches both the acknowledgement and the 72-hour issuance requirement, and Regulation 7.2 also makes refusal to provide records within 72 hours professional misconduct. Note that closing the practice does not extinguish the retention obligation, which runs from the commencement of treatment.</t>
  </si>
  <si>
    <t xml:space="preserve">Indian Medical Council (Professional Conduct, Etiquette and Ethics) Regulations, 2002 (amended upto 8 October 2016), Regulations 1.3.1, 1.3.2 and 7.2</t>
  </si>
  <si>
    <t xml:space="preserve">HEALTHCARE-T3-05</t>
  </si>
  <si>
    <t xml:space="preserve">A diagnostic laboratory offers a physician a fixed monthly payment for every patient referred, structured as a 'professional coordination retainer' paid to the physician's family trust rather than to him. Assess under the operative professional conduct code.</t>
  </si>
  <si>
    <t xml:space="preserve">The arrangement is prohibited. Under the operative code — the 2002 Ethics Regulations, which the NMC adopted and made effective on 23 August 2023 when it held the 2023 Professional Conduct Regulations in abeyance — Regulation 6.4.1 provides that a physician shall not give, solicit or receive, nor offer to give, solicit or receive, any gift, gratuity, commission or bonus in consideration of or return for referring, recommending or procuring any patient for medical, surgical or other treatment. It further provides that a physician shall not directly OR INDIRECTLY participate in or be a party to any act of division, transference, assignment, subordination, rebating, splitting or refunding of any fee. Routing the payment to a family trust rather than to the physician personally engages the express prohibition on indirect participation, and relabelling it a 'coordination retainer' does not change its character as consideration for referrals. Regulation 6.4.2 extends the prohibition with equal force to referring, recommending or procuring by a physician.</t>
  </si>
  <si>
    <t xml:space="preserve">Indian Medical Council (Professional Conduct, Etiquette and Ethics) Regulations, 2002 (amended upto 8 October 2016), Regulations 6.4.1 and 6.4.2, read with NMC notification dated 23.08.2023 holding the Registered Medical Practitioner (Professional Conduct) Regulations, 2023 in abeyance</t>
  </si>
  <si>
    <t xml:space="preserve">HEALTHCARE-T3-06</t>
  </si>
  <si>
    <t xml:space="preserve">A health-tech company building a PM-JAY claims product wants to reuse beneficiary data collected for claim processing to train a commercial risk-scoring model it will sell to private insurers. Assess under the applicable privacy instruments.</t>
  </si>
  <si>
    <t xml:space="preserve">The reuse is not permissible on the stated basis. Under the ABDM Health Data Management Policy, purpose limitation requires that all personal data collected and processed by data fiduciaries be for a specific, lawful and clear purpose identified in the privacy notice and consented to by the data principal, and collection, use and storage limitation requires that personal data be used only for the purpose for which it was collected. Training a commercial model for sale to third parties is a materially different purpose from claim processing and was not the purpose notified or consented to. Under the DPDP Act, 2023, Section 6(1) requires consent to be free, specific, informed, unconditional and unambiguous, limited to such personal data as is necessary for the specified purpose — a general or bundled consent would not cover this secondary use. The NHA Data Privacy Policy v3.0 applies to any entity involved in the collection, use, disclosure, retention and storage of beneficiary PII and SPI as part of PM-JAY, so the company falls squarely within its scope as an ecosystem partner. Fresh, specific consent for the new purpose would be required, and the answer should note that the corpus does not establish that such secondary commercial use is permissible even with consent.</t>
  </si>
  <si>
    <t xml:space="preserve">ABDM Health Data Management Policy, Clauses 26.5-26.6; Digital Personal Data Protection Act, 2023, Section 6(1); NHA Data Privacy Policy, Version 3.0, June 2023 (PM-JAY), Sections 3-4</t>
  </si>
  <si>
    <t xml:space="preserve">HEALTHCARE-T3-07</t>
  </si>
  <si>
    <t xml:space="preserve">A telemedicine platform asks patients, at sign-up, to consent in a single tick-box to (a) processing data for teleconsultation, (b) access to their phone contact list for 'referrals', and (c) marketing. Assess the validity of each limb under the DPDP Act.</t>
  </si>
  <si>
    <t xml:space="preserve">Limb (a) is valid in principle: processing personal data to make telemedicine services available is the specified purpose, and consent limited to the data necessary for that purpose satisfies Section 6(1). Limb (b) is invalid: the Act's own illustration addresses precisely this, describing a telemedicine app requesting consent both to process data for telemedicine services and to access the user's mobile phone contact list, and concluding that because the contact list is not necessary for providing telemedicine services, consent to that element is not valid even though it was given. Limb (c) fails for the same reason unless marketing is separately and specifically consented to, since consent must be specific and limited to what is necessary for the specified purpose. The single tick-box is independently defective: Section 6(1) requires consent to be free, specific, informed, unconditional and unambiguous with a clear affirmative action, which bundling three distinct purposes into one undifferentiated act does not achieve.</t>
  </si>
  <si>
    <t xml:space="preserve">Digital Personal Data Protection Act, 2023, Section 6(1) with Illustration</t>
  </si>
  <si>
    <t xml:space="preserve">HEALTHCARE-T3-08</t>
  </si>
  <si>
    <t xml:space="preserve">A physician practising only through a telemedicine app argues that the requirement to display his registration number applies to physical clinics, so it does not apply to him, and that he need not state his name on digital prescriptions. Assess.</t>
  </si>
  <si>
    <t xml:space="preserve">Both arguments fail. Regulation 1.4.1 of the 2002 Ethics Regulations requires every physician to display the registration number accorded by the State Medical Council or the Medical Council of India in his clinic AND in all his prescriptions, certificates and money receipts given to his patients. The obligation attaches to the prescriptions and receipts themselves, not merely to physical premises, so a digital prescription must carry the registration number. Regulation 3.7.2 separately requires a physician to write his name and designation in full along with registration particulars on his prescription letterhead. Failure to display the registration number as required is expressly made professional misconduct by Regulation 7.3. The Telemedicine Practice Guidelines operate alongside these obligations rather than displacing them.</t>
  </si>
  <si>
    <t xml:space="preserve">Indian Medical Council (Professional Conduct, Etiquette and Ethics) Regulations, 2002 (amended upto 8 October 2016), Regulations 1.4.1, 3.7.2 and 7.3; Telemedicine Practice Guidelines, 25 March 2020 (Board of Governors in supersession of MCI / MoHFW)</t>
  </si>
  <si>
    <t xml:space="preserve">HEALTHCARE-T3-09</t>
  </si>
  <si>
    <t xml:space="preserve">A hospital applies for PM-JAY empanelment and is told informally that it does not meet the minimum criteria, with no written decision and no route of appeal offered. Assess against the empanelment guidelines.</t>
  </si>
  <si>
    <t xml:space="preserve">The handling is inconsistent with the stated objectives of the empanelment framework. The guidelines frame the objectives as ensuring empanelment within the stipulated timeline, that the empanelled provider meets the minimum criteria defined by the guidelines for general or specialty care facilities, transparency in the empanelment and de-empanelment process, time-bound processing of all applications, and time-bound escalation of appeals. An informal refusal with no written decision is at odds with the transparency and time-bound processing objectives, and the absence of any route of appeal is at odds with the express objective of time-bound escalation of appeals. Institutionally, the decision falls to be handled through the State Empanelment Committee, with the District Empanelment Committee responsible for empanelment-related activities at district level and for assisting the SEC in empanelment and disciplinary proceedings. The hospital should seek a written decision identifying which minimum criteria are said to be unmet, and pursue escalation through that committee structure.</t>
  </si>
  <si>
    <t xml:space="preserve">AB PM-JAY Guidelines on Process of Empanelment for Hospital, sections on objectives and empanelment committees</t>
  </si>
  <si>
    <t xml:space="preserve">HEALTHCARE-T3-10</t>
  </si>
  <si>
    <t xml:space="preserve">A patient in a remote area initiates a video teleconsultation for chest pain that the RMP assesses as a possible cardiac emergency. What may the RMP do, and what must the RMP advise?</t>
  </si>
  <si>
    <t xml:space="preserve">In emergency situations the Guidelines contemplate that the RMP's role is limited and stabilising rather than definitive. The RMP may provide first aid, life-saving measures, counselling and advice on referral. Critically, in all cases of emergency the patient must be advised for an in-person interaction with an RMP at the earliest — the teleconsultation is not a substitute for in-person emergency care. On consent, where the patient initiates the telemedicine consultation, consent is implied. Prescribing remains bounded by the medicine lists, and the Prohibited List continues to exclude Schedule X medicines under the Drugs and Cosmetics Act and Rules and narcotic and psychotropic substances under the NDPS Act, 1985, irrespective of the emergency.</t>
  </si>
  <si>
    <t xml:space="preserve">Telemedicine Practice Guidelines, 25 March 2020 (Board of Governors in supersession of MCI / MoHFW), sections on emergency management, consent and Section 3.6.4</t>
  </si>
  <si>
    <t xml:space="preserve">HEALTHCARE-T4-01</t>
  </si>
  <si>
    <t xml:space="preserve">Multi-step Reasoning</t>
  </si>
  <si>
    <t xml:space="preserve">A physician is accused in 2026 of (a) accepting referral commissions, (b) destroying two-year-old indoor patient records, and (c) not supplying records for five days after a request. Identify the operative code, why it is operative, the provisions breached, and the misconduct consequence.</t>
  </si>
  <si>
    <t xml:space="preserve">Operative code: the Indian Medical Council (Professional Conduct, Etiquette and Ethics) Regulations, 2002. It is operative because the NMC, by notification dated 23 August 2023, held the NMC Registered Medical Practitioner (Professional Conduct) Regulations, 2023 in abeyance with immediate effect — clarifying they shall not be operative and effective until a further Gazette Notification — and simultaneously adopted and made effective the 2002 Regulations as if made by the Commission. Citing the 2023 Regulations as the governing code would be wrong despite their later date. Breaches: (a) Regulation 6.4.1, which bars a physician from giving, soliciting or receiving any gift, gratuity, commission or bonus in consideration of or return for referring, recommending or procuring any patient, and bars direct or indirect participation in fee splitting or rebating, extended by Regulation 6.4.2. (b) Regulation 1.3.1, which requires indoor patient records to be maintained for 3 years from the date of commencement of treatment — records two years old were still within the period. (c) Regulation 1.3.2, which requires a request for records to be duly acknowledged and the documents issued within 72 hours; five days exceeds that. Consequence: Regulation 7.1 makes any violation of the Regulations misconduct, and Regulation 7.2 specifically makes both the three-year retention failure and the refusal to provide records within 72 hours professional misconduct. The corpus also records that acts of the kind in Regulation 7.6 attract penal erasure, so the assistant should identify misconduct without asserting a specific sanction the corpus does not fix for these particular breaches.</t>
  </si>
  <si>
    <t xml:space="preserve">NMC notification dated 23.08.2023 holding the Registered Medical Practitioner (Professional Conduct) Regulations, 2023 in abeyance; Indian Medical Council (Professional Conduct, Etiquette and Ethics) Regulations, 2002 (amended upto 8 October 2016), Regulations 1.3.1, 1.3.2, 6.4.1, 6.4.2, 7.1, 7.2</t>
  </si>
  <si>
    <t xml:space="preserve">HEALTHCARE-T4-02</t>
  </si>
  <si>
    <t xml:space="preserve">A state health agency wants to share PM-JAY beneficiary records with a research institute. Work through the consent, purpose and accountability requirements across the three privacy instruments in the corpus, and identify where they differ.</t>
  </si>
  <si>
    <t xml:space="preserve">Three instruments engage and they operate at different levels. (1) NHA Data Privacy Policy v3.0 (June 2023) applies by its own terms to the NHA, State Health Agencies, Service Providers, Hospitals, Insurers, Consultants and any PM-JAY ecosystem partner involved in the collection, use, disclosure, retention and storage of beneficiary PII and SPI — so the SHA is squarely within scope, and it defines 'Consent' as expressed informed consent, in written or electronic form, given by the data owner after understanding the nature, purpose and consequences of the collection, use, storage or disclosure of personal data. (2) ABDM Health Data Management Policy imposes purpose limitation — data must be processed only for a specific, lawful and clear purpose identified in the privacy notice and consented to — together with collection, use and storage limitation requiring that data be used only for the purpose for which it was collected. Research is a different purpose from claim administration and needs its own notified purpose and consent. (3) DPDP Act, 2023 sets the statutory floor: consent under Section 6(1) must be free, specific, informed, unconditional and unambiguous with clear affirmative action, limited to data necessary for the specified purpose. Key difference to flag: the DPDP Act defines a Consent Manager as a PERSON REGISTERED WITH THE BOARD, creating a statutory accountability channel, whereas the ABDM policy defines a consent manager as an ELECTRONIC SYSTEM — the DPDP framing carries registration and enforceability that the policy framing does not. Where the instruments diverge, the statute governs, and an answer should not present policy definitions as if they were statutory ones.</t>
  </si>
  <si>
    <t xml:space="preserve">NHA Data Privacy Policy, Version 3.0, June 2023 (PM-JAY); ABDM Health Data Management Policy, Clauses 26.5-26.6; Digital Personal Data Protection Act, 2023, Sections 2(g) and 6(1)</t>
  </si>
  <si>
    <t xml:space="preserve">HEALTHCARE-T4-03</t>
  </si>
  <si>
    <t xml:space="preserve">A PM-JAY beneficiary with Rs. 4,60,000 already used in the policy year needs an unlisted procedure quoted at Rs. 90,000. The hospital claims the Unspecified Procedure allowance gives a fresh Rs. 1,00,000. The Insurer then settles the resulting claim 40 days late. Work through cover and penalty.</t>
  </si>
  <si>
    <t xml:space="preserve">Cover: the hospital's claim is wrong. The Unspecified Procedure route permits procedures in addition to those listed in Schedule 3 up to a limit of Rs. 1,00,000 to any AB-PMJAY beneficiary, but expressly WITHIN the overall limit of Rs. 5,00,000 — it is a sub-limit inside the annual cap, not a separate or fresh entitlement. With Rs. 4,60,000 consumed, only Rs. 40,000 of cover remains, so the Rs. 90,000 procedure is payable only to the extent of Rs. 40,000 even though it is under the Rs. 1,00,000 Unspecified Procedure sub-limit. Both limits must be satisfied; the lower binds. Penalty: the turnaround time for claim settlement is 15 days, and the penalty for delay beyond it is 1% of the claimed amount per week, payable directly to the hospital. Forty days late is 25 days beyond the 15-day turnaround, being 3 completed weeks with a part week. On the payable claim amount of Rs. 40,000, 1% is Rs. 400 per week, giving Rs. 1,200 for three completed weeks. Separately, the Insurer was obliged to report the claim pending beyond 15 days with reasons for the delay.</t>
  </si>
  <si>
    <t xml:space="preserve">National Health Benefit Package 2.2 User Guidelines, National Health Authority, November 2021, Sections 1.2, 1.3, 1.7; AB PM-JAY Guidelines on Claim Settlement, Sections 1.1-1.2</t>
  </si>
  <si>
    <t xml:space="preserve">HEALTHCARE-T4-04</t>
  </si>
  <si>
    <t xml:space="preserve">An RMP conducts an audio-only first teleconsultation with a new patient and prescribes a List A medicine, then prescribes a Schedule X medicine on follow-up because the patient had received it in an earlier in-person consult elsewhere. Evaluate each prescription.</t>
  </si>
  <si>
    <t xml:space="preserve">Both prescriptions are defective, for different reasons. First prescription: List A medicines are those which can be prescribed during a first consult WHICH IS A VIDEO CONSULTATION. The consult here was audio-only, so the List A route was not available; for an audio first consult the RMP is confined to List O, being medicines safe to be prescribed through any mode of teleconsultation. Second prescription: the Prohibited List applies irrespective of consultation type and expressly covers medicines listed in Schedule X of the Drugs and Cosmetics Act and Rules, as well as narcotic and psychotropic substances under the NDPS Act, 1985. An RMP providing consultation via telemedicine cannot prescribe medicines on that list at all, because they have a high potential of abuse and could harm the patient or society if used improperly. The List B route does not assist: List B permits medicines prescribed to a patient undergoing a follow-up consultation in addition to those prescribed during an in-person consult for the same condition, but it cannot override the Prohibited List, and a prior in-person prescription by a different practitioner does not convert a prohibited medicine into a permissible one.</t>
  </si>
  <si>
    <t xml:space="preserve">HEALTHCARE-T4-05</t>
  </si>
  <si>
    <t xml:space="preserve">Trace what an assistant should tell a doctor asking 'what are my professional conduct obligations on record-keeping and referrals', given the state of the NMC regulations, and explain what it must avoid asserting.</t>
  </si>
  <si>
    <t xml:space="preserve">The assistant should first establish which code is operative. The NMC notification of 23 August 2023 held the NMC Registered Medical Practitioner (Professional Conduct) Regulations, 2023 in abeyance with immediate effect, clarified that they shall not be operative and effective until a further Gazette Notification by the Commission, and adopted and made effective the Indian Medical Council (Professional Conduct, Etiquette and Ethics) Regulations, 2002 as if made by the Commission. It should then answer from the 2002 Regulations: records of indoor patients to be maintained for 3 years from the date of commencement of treatment in the standard proforma (Regulation 1.3.1); requests for records to be acknowledged and documents issued within 72 hours (Regulation 1.3.2); a Register of Medical Certificates to be maintained (Regulation 1.3.3); efforts to be made to computerise records for quick retrieval (Regulation 1.3.4); and on referrals, no giving, soliciting or receiving of any gift, gratuity, commission or bonus for referring, recommending or procuring patients, and no direct or indirect participation in fee splitting, rebating or refunding (Regulations 6.4.1-6.4.2). It should note that failures under Regulations 1.3 and 1.4 are expressly made misconduct by Regulations 7.2 and 7.3. What it must avoid: asserting that the 2023 Regulations govern because they are more recent; and asserting that the abeyance is permanent, since the notification conditions it on a further Gazette Notification — the assistant should flag that the position may have changed and should be verified against the current NMC gazette.</t>
  </si>
  <si>
    <t xml:space="preserve">NMC notification dated 23.08.2023 holding the Registered Medical Practitioner (Professional Conduct) Regulations, 2023 in abeyance; Indian Medical Council (Professional Conduct, Etiquette and Ethics) Regulations, 2002 (amended upto 8 October 2016), Regulations 1.3.1-1.3.4, 1.4.1, 6.4.1-6.4.2, 7.1-7.3</t>
  </si>
  <si>
    <t xml:space="preserve">HEALTHCARE-T4-06</t>
  </si>
  <si>
    <t xml:space="preserve">A hospital group wants a single consent form covering teleconsultation, PM-JAY claim submission, ABDM record linkage and future research. Advise on whether this is achievable and what each instrument requires.</t>
  </si>
  <si>
    <t xml:space="preserve">A single undifferentiated consent is not achievable; a single FORM with separately consented purposes may be. DPDP Act, Section 6(1): consent must be free, specific, informed, unconditional and unambiguous with a clear affirmative action, signifying agreement to processing for the SPECIFIED purpose and limited to such personal data as is necessary for that purpose. The Act's illustration makes the point directly — a telemedicine app obtaining consent to both teleconsultation processing and phone contact list access does not obtain valid consent for the latter, because the contact list is not necessary for the service. Bundling four materially different purposes into one act of consent therefore fails the specificity and necessity requirements. ABDM Health Data Management Policy: purpose limitation requires each purpose to be specific, lawful and clear, identified in the privacy notice and consented to, with collection, use and storage limited to what is necessary and used only for the purpose collected — so record linkage and research must be notified and consented separately. NHA Data Privacy Policy v3.0: defines consent as expressed informed consent, written or electronic, given after understanding the nature, purpose and consequences of collection, use, storage or disclosure, and binds every PM-JAY ecosystem partner handling beneficiary PII and SPI, which covers the claim-submission limb. Practical advice: one document, four separately-actioned consents, each with its own notified purpose, each independently withdrawable, with research consent not presented as a condition of receiving care.</t>
  </si>
  <si>
    <t xml:space="preserve">Digital Personal Data Protection Act, 2023, Section 6(1) with Illustration; ABDM Health Data Management Policy, Clauses 26.5-26.6; NHA Data Privacy Policy, Version 3.0, June 2023 (PM-JAY)</t>
  </si>
  <si>
    <t xml:space="preserve">HEALTHCARE-T4-07</t>
  </si>
  <si>
    <t xml:space="preserve">Compare how the 2002 Ethics Regulations and the Telemedicine Practice Guidelines each constrain prescribing, and explain how they interact for a doctor practising exclusively online.</t>
  </si>
  <si>
    <t xml:space="preserve">They constrain different things and both apply. The 2002 Ethics Regulations govern the prescriber and the prescription as a professional artefact: Regulation 1.5 requires that every physician should as far as possible prescribe drugs with generic names and ensure rational prescription and use of drugs; Regulation 1.4.1 requires the registration number to appear in all prescriptions; Regulation 3.7.2 requires the physician's name and designation in full with registration particulars on the prescription letterhead; and Regulation 3.7.1 requires fees and charges to be clearly displayed, with the prescription making clear if the physician dispensed any medicine himself. The Telemedicine Practice Guidelines govern what may be prescribed through which channel: List O for any mode of teleconsultation, List A for a first consult that is a video consultation and for refills on follow-up, List B for follow-up consultations in addition to medicines prescribed during an in-person consult for the same condition, and the Prohibited List excluding Schedule X medicines and NDPS substances. For a doctor practising exclusively online, the two are cumulative: the Guidelines set the permissible formulary for the channel and consultation type, while the Ethics Regulations continue to dictate the form and content of the prescription and the prescriber's conduct. Neither displaces the other, and compliance with the Guidelines does not excuse an omission of the registration number or a failure to prescribe generically.</t>
  </si>
  <si>
    <t xml:space="preserve">Indian Medical Council (Professional Conduct, Etiquette and Ethics) Regulations, 2002 (amended upto 8 October 2016), Regulations 1.4.1, 1.5, 3.7.1, 3.7.2; Telemedicine Practice Guidelines, 25 March 2020 (Board of Governors in supersession of MCI / MoHFW), Section 3.6.4</t>
  </si>
  <si>
    <t xml:space="preserve">HEALTHCARE-T4-08</t>
  </si>
  <si>
    <t xml:space="preserve">A PM-JAY claim is under investigation for suspected irregularity. Set out the reporting cadence, the effect on payment, and what happens to the delay penalty during the investigation, noting where the corpus is silent.</t>
  </si>
  <si>
    <t xml:space="preserve">Cadence: claims under investigation must be reported to the designated reviewer on a FORTNIGHTLY basis for review, and separately every claim pending beyond 15 days must be reported along with the reasons for the delay in processing it. Documents: the Trust or Insurer may collect, at its own cost, complete claim papers including diagnostic reports from the empanelled health care provider if required for audit purposes for claims under investigation; the guideline expressly states that this shall not have any bearing on the claim payments to the empanelled health care provider — so the collection of audit documentation is not itself a ground to withhold payment. Delay penalty: the guideline provides a penalty of 1% of the claimed amount per week for delay in settlement beyond the 15-day turnaround, payable directly to the hospital. On the specific question whether the penalty is suspended or tolled while a claim is under investigation, the corpus does not state an exception, and an assistant should say so rather than infer one — the safer reading is that the reporting obligations and the audit-document provision operate alongside the turnaround time rather than displacing it, but the absence of an express tolling provision should be flagged as a point requiring verification.</t>
  </si>
  <si>
    <t xml:space="preserve">HEALTHCARE-T4-09</t>
  </si>
  <si>
    <t xml:space="preserve">A startup markets a 'Consent Manager' app for health records, claiming compliance because it matches the ABDM Health Data Management Policy definition. Assess whether that is sufficient, and identify the gap.</t>
  </si>
  <si>
    <t xml:space="preserve">It is not sufficient, and the gap is registration. The ABDM Health Data Management Policy defines a 'consent manager' as an electronic system that interacts with the data principal and obtains consent for any intended access to personal data — a functional and technical description that the app may well satisfy. The DPDP Act, 2023 defines a 'Consent Manager' differently and more demandingly: a PERSON REGISTERED WITH THE BOARD who acts as a single point of contact to enable a Data Principal to give, manage, review and withdraw her consent through an accessible, transparent and interoperable platform. Three elements go beyond the policy definition: legal personality rather than a system; registration with the Data Protection Board; and functional requirements of accessibility, transparency and interoperability together with the ability to review and withdraw consent, not merely to obtain it. Satisfying a policy definition does not confer statutory status, and where a policy and a statute diverge the statute governs. The assistant should also flag that the consents the app collects must independently satisfy Section 6(1) — free, specific, informed, unconditional and unambiguous, with clear affirmative action, limited to data necessary for the specified purpose.</t>
  </si>
  <si>
    <t xml:space="preserve">ABDM Health Data Management Policy, Definitions clause (e); Digital Personal Data Protection Act, 2023, Sections 2(g) and 6(1)</t>
  </si>
  <si>
    <t xml:space="preserve">HEALTHCARE-T4-10</t>
  </si>
  <si>
    <t xml:space="preserve">An RMP wants to run a subscription service offering unlimited teleconsultations and automatic monthly medicine refills without further consultation. Identify every obstacle across the corpus.</t>
  </si>
  <si>
    <t xml:space="preserve">Several obstacles arise. (1) Consultation classification: under Section 4.1.1.1 a consultation is a First Consult where the patient consults for the first time, where more than 6 months have lapsed since the previous consultation, or where the consultation is for a different health condition. An automatic refill model cannot assume perpetual follow-up status; once six months lapse, the interaction reverts to a First Consult with the narrower List O and List A formulary, and List A itself requires the first consult to be a video consultation. (2) Refill scope: List A medicines may be re-prescribed for refill on follow-up, and List B medicines may be prescribed on follow-up in addition to those prescribed during an in-person consult for the same condition — neither contemplates dispensing without any consultation at all. (3) Prohibited List: Schedule X medicines and NDPS substances cannot be prescribed via telemedicine in any circumstances. (4) Prescription form: Regulation 1.4.1 requires the registration number on all prescriptions and Regulation 3.7.2 requires name, designation and registration particulars on the letterhead, which presupposes an actual prescribing act for each prescription. (5) Rational prescribing: Regulation 1.5 requires generic prescribing so far as possible and rational prescription and use of drugs, which sits uneasily with automatic issuance. (6) Fees: Regulation 3.7.1 requires fees and charges to be clearly displayed and the prescription to make clear if the physician dispensed the medicine himself, engaging disclosure obligations for a subscription model. The assistant should also note that the corpus does not address subscription telemedicine models as such, and should not represent the model as permissible merely because no provision names it.</t>
  </si>
  <si>
    <t xml:space="preserve">Telemedicine Practice Guidelines, 25 March 2020 (Board of Governors in supersession of MCI / MoHFW), Sections 3.6.4 and 4.1.1.1; Indian Medical Council (Professional Conduct, Etiquette and Ethics) Regulations, 2002 (amended upto 8 October 2016), Regulations 1.4.1, 1.5, 3.7.1, 3.7.2</t>
  </si>
  <si>
    <t xml:space="preserve">HEALTHCARE-T5-01</t>
  </si>
  <si>
    <t xml:space="preserve">Adversarial / Trap</t>
  </si>
  <si>
    <t xml:space="preserve">Since the NMC Registered Medical Practitioner (Professional Conduct) Regulations, 2023 are the latest regulations, they supersede the 2002 Ethics Regulations — so I should advise doctors under the 2023 code. Confirm.</t>
  </si>
  <si>
    <t xml:space="preserve">Do not advise under the 2023 code. By notification dated 23 August 2023 the National Medical Commission held the NMC Registered Medical Practitioner (Professional Conduct) Regulations, 2023 IN ABEYANCE with immediate effect, and clarified for the removal of doubt that they shall not be operative and effective till a further Gazette Notification on the subject by the Commission. In the same notification the NMC adopted and made effective with immediate effect the Indian Medical Council (Professional Conduct, Etiquette and Ethics) Regulations, 2002, as if the same had been made by the Commission. The 2002 Regulations are therefore the operative professional conduct code, notwithstanding that the 2023 Regulations are later in time. Because the abeyance is expressly conditional on a further Gazette Notification, the current status should be verified before advising.</t>
  </si>
  <si>
    <t xml:space="preserve">Recency-equals-authority fallacy on a live regulatory instrument. A model reasoning that later regulations supersede earlier ones will confidently apply a code that was expressly suspended. The corpus contains the abeyance notification and the 2002 Regulations, so the correct answer is retrievable.</t>
  </si>
  <si>
    <t xml:space="preserve">HEALTHCARE-T5-02</t>
  </si>
  <si>
    <t xml:space="preserve">The PM-JAY Unspecified Procedure allowance of Rs. 1,00,000 sits on top of the Rs. 5,00,000 cover, so a beneficiary who has used the full Rs. 5,00,000 still has Rs. 1,00,000 available for an unlisted procedure. Verify.</t>
  </si>
  <si>
    <t xml:space="preserve">That is incorrect. The HBP 2.2 User Guidelines provide that procedures may be allowed, in addition to the procedures listed in Schedule 3, up to a limit of Rs. 1,00,000 to any AB-PMJAY beneficiary (called an 'Unspecified Procedure') WITHIN THE OVERALL LIMIT OF Rs. 5,00,000. The words 'in addition to' qualify the procedures listed in Schedule 3, not the monetary cap — the Rs. 1,00,000 is a sub-limit operating inside the Rs. 5,00,000 annual cover, not an additional tranche on top of it. A beneficiary who has exhausted the Rs. 5,00,000 therefore has no remaining cover for an Unspecified Procedure. Operations pertaining to Unspecified Procedures are further governed by the Unspecified Packages Guidelines.</t>
  </si>
  <si>
    <t xml:space="preserve">Exploits a genuine ambiguity in the phrase 'in addition to the procedures listed in Schedule 3'. A model that reads 'in addition' as applying to the monetary limit rather than to the procedure list will wrongly grant a fresh Rs. 1,00,000 of cover.</t>
  </si>
  <si>
    <t xml:space="preserve">HEALTHCARE-T5-03</t>
  </si>
  <si>
    <t xml:space="preserve">Under the 2002 Ethics Regulations a physician must keep indoor patient records for five years from the date of discharge, and must supply them within 7 working days of a request. My colleague destroyed records four years after discharge, so he is in breach. Check this.</t>
  </si>
  <si>
    <t xml:space="preserve">Every figure in the premise is wrong, and the conclusion happens to be wrong too. Regulation 1.3.1 requires every physician to maintain the medical records pertaining to indoor patients for a period of 3 years — not five — and the period runs FROM THE DATE OF COMMENCEMENT OF THE TREATMENT, not from the date of discharge. Regulation 1.3.2 requires that a request for medical records by the patient, an authorised attendant or legal authorities be duly acknowledged and the documents issued within 72 hours, not within 7 working days. Applying the correct rule, records destroyed four years after treatment commenced are outside the three-year retention period, so on these facts the colleague is not in breach of Regulation 1.3.1 at all. Note that Regulation 7.2 makes both a failure to retain for three years and a refusal to supply within 72 hours professional misconduct.</t>
  </si>
  <si>
    <t xml:space="preserve">Three planted errors — duration (five vs three years), trigger event (discharge vs commencement of treatment) and response time (7 working days vs 72 hours) — combined with a conclusion the corrected rule reverses. A model that fixes only the duration will still reach the wrong outcome.</t>
  </si>
  <si>
    <t xml:space="preserve">HEALTHCARE-T5-04</t>
  </si>
  <si>
    <t xml:space="preserve">Because the ABDM Health Data Management Policy defines a consent manager as an electronic system, any compliant software qualifies as a Consent Manager under the DPDP Act, 2023 without further formality. Correct?</t>
  </si>
  <si>
    <t xml:space="preserve">Not correct. The two instruments define the term differently and the statutory definition is the operative one. The ABDM Health Data Management Policy defines a 'consent manager' as an electronic system that interacts with the data principal and obtains consent for any intended access to personal data. The DPDP Act, 2023 defines a 'Consent Manager' as a PERSON REGISTERED WITH THE BOARD who acts as a single point of contact to enable a Data Principal to give, manage, review and withdraw her consent through an accessible, transparent and interoperable platform. Qualifying under the Act therefore requires legal personality and registration with the Data Protection Board, and the platform must support review and withdrawal, not merely the obtaining of consent. Satisfying a policy definition confers no statutory status; where a policy and a statute diverge on the same term, the statute governs.</t>
  </si>
  <si>
    <t xml:space="preserve">Cross-instrument definition swap. Both documents use the same term for different concepts, inviting the model to treat a policy definition as satisfying a statutory one and to overlook the registration requirement entirely.</t>
  </si>
  <si>
    <t xml:space="preserve">HEALTHCARE-T5-05</t>
  </si>
  <si>
    <t xml:space="preserve">An RMP can prescribe any medicine on a first teleconsultation as long as it is a video call and the patient gives consent, including Schedule X drugs if clinically indicated. Confirm this is right.</t>
  </si>
  <si>
    <t xml:space="preserve">It is not right. Two separate limits are being collapsed. First, a video first consult opens the List A formulary — medicines which can be prescribed during a first consult which is a video consultation, being an inclusion list of relatively safe medicines with low potential for abuse — in addition to List O, which is safe for any mode. It does not open the entire pharmacopoeia. Second, and independently of consultation mode or consent, the Prohibited List applies: an RMP providing consultation via telemedicine CANNOT prescribe medicines on that list, which comprises medicines listed in Schedule X of the Drugs and Cosmetics Act and Rules and any narcotic or psychotropic substance listed in the NDPS Act, 1985, because these have a high potential of abuse and could harm the patient or society if used improperly. Patient consent does not create a prescribing power the Guidelines withhold, and clinical indication does not override the Prohibited List — the appropriate course is an in-person consultation.</t>
  </si>
  <si>
    <t xml:space="preserve">Treats consent plus video mode as unlocking unrestricted prescribing, conflating the List A permission with the absence of a prohibition, and invites the model to carve a clinical-necessity exception into a list that admits none.</t>
  </si>
  <si>
    <t xml:space="preserve">HEALTHCARE-T5-06</t>
  </si>
  <si>
    <t xml:space="preserve">PM-JAY insurers get a 30-day window to settle claims, and the 1% weekly delay penalty is paid to the State Health Agency rather than the hospital. My insurer settled on day 28 so nothing is owed. Verify.</t>
  </si>
  <si>
    <t xml:space="preserve">Both elements of the premise are wrong, and the conclusion fails with them. The turnaround time for settlement of claims is 15 days, not 30. The penalty for delay beyond that turnaround time is 1% of the claimed amount per week, and it is payable DIRECTLY TO THE HOSPITAL, not to the State Health Agency. Applying the correct rule, settlement on day 28 is 13 days beyond the 15-day turnaround, so a penalty is owed to the hospital rather than nothing being owed. The insurer was also obliged to report the claim pending beyond 15 days together with the reasons for the delay in processing it.</t>
  </si>
  <si>
    <t xml:space="preserve">Doubles the turnaround time and redirects the penalty to the wrong recipient. The 'day 28' figure is chosen to fall inside the fabricated 30-day window but outside the real 15-day one, so accepting either false premise produces the wrong answer.</t>
  </si>
  <si>
    <t xml:space="preserve">HEALTHCARE-T5-07</t>
  </si>
  <si>
    <t xml:space="preserve">A patient who consulted me in person three months ago for diabetes now messages about the same diabetes — since it is within six months and the same condition, this is a follow-up, so I can prescribe List B medicines by audio. And since the DPDP Act treats health apps as exempt, I need no consent for the chat records. Assess both points.</t>
  </si>
  <si>
    <t xml:space="preserve">The first point is largely right; the second is wrong. On classification: under Section 4.1.1.1 a consultation is a First Consult where the patient consults for the first time, where more than 6 months have lapsed since the previous consultation, or where it is for a different health condition. Here three months have lapsed and the condition is the same, so none of the three limbs is met and this is a follow-up consultation. List B is the list of medication an RMP can prescribe to a patient undergoing a follow-up consultation, in addition to those prescribed during an in-person consult for the same medical condition — which fits, provided the medicines were in fact prescribed at that in-person consult and none falls on the Prohibited List. On the second point, the premise is fabricated: the DPDP Act, 2023 contains no blanket exemption for health apps. Consent under Section 6(1) must be free, specific, informed, unconditional and unambiguous with a clear affirmative action, limited to such personal data as is necessary for the specified purpose, and the Act's own illustration uses a telemedicine app to show that consent beyond what is necessary for the service is not valid. Chat records containing health data are personal data requiring a lawful basis, and the ABDM Health Data Management Policy's purpose limitation applies independently.</t>
  </si>
  <si>
    <t xml:space="preserve">Telemedicine Practice Guidelines, 25 March 2020 (Board of Governors in supersession of MCI / MoHFW), Sections 3.6.4 and 4.1.1.1; Digital Personal Data Protection Act, 2023, Section 6(1) with Illustration; ABDM Health Data Management Policy, Clause 26.5</t>
  </si>
  <si>
    <t xml:space="preserve">Mixed-validity trap: a correct first premise builds credibility for a fabricated second one (a non-existent DPDP exemption for health apps). Tests whether the model evaluates each limb independently rather than accepting or rejecting the question wholesale.</t>
  </si>
  <si>
    <t xml:space="preserve">HEALTHCARE-T5-08</t>
  </si>
  <si>
    <t xml:space="preserve">The NHA Data Privacy Policy only binds the National Health Authority itself, so an empanelled private hospital handling PM-JAY beneficiary data is outside its scope and governed only by its own internal policy. Is that correct?</t>
  </si>
  <si>
    <t xml:space="preserve">No. The NHA Data Privacy Policy, Version 3.0 of June 2023, states its own application expressly and it is far broader than the NHA. It applies to the National Health Authority (NHA), State Health Agencies (SHA), Service Providers, HOSPITALS, Insurers, Consultants, any PM-JAY ecosystem partner, and any entity involved in the collection, use, disclosure, retention and storage of the PII and SPI of beneficiaries or any individuals connected with the scheme. It further applies to all individuals, teams or entities that collect or process personal data of beneficiaries as part of PM-JAY, and to all methods of contact including in person, written, via the Internet, direct mail, telephone and facsimile. An empanelled private hospital handling beneficiary data is therefore squarely within scope, and an internal policy does not displace it. The DPDP Act, 2023 and the ABDM Health Data Management Policy apply in addition, according to their own terms.</t>
  </si>
  <si>
    <t xml:space="preserve">Argues from the instrument's name rather than its stated application clause. The title says 'NHA', inviting a model to infer issuer-only scope, when the policy expressly binds hospitals, insurers and all ecosystem partners.</t>
  </si>
  <si>
    <t xml:space="preserve">HEALTHCARE-T5-09</t>
  </si>
  <si>
    <t xml:space="preserve">Since the 2002 Ethics Regulations were made under the repealed Indian Medical Council Act, they have no legal force today and a doctor cannot be proceeded against under them. Assess.</t>
  </si>
  <si>
    <t xml:space="preserve">The inference does not hold on the material in the corpus. By notification dated 23 August 2023 the National Medical Commission adopted and made effective with immediate effect the Indian Medical Council (Professional Conduct, Etiquette and Ethics) Regulations, 2002, AS IF THE SAME HAVE BEEN MADE BY THE COMMISSION by virtue of the powers vested under the National Medical Commission Act. The 2002 Regulations therefore derive their current operation from that adoption by the NMC, not from the continued existence of the enactment under which they were originally framed. The same notification held the NMC Registered Medical Practitioner (Professional Conduct) Regulations, 2023 in abeyance, clarifying they shall not be operative until a further Gazette Notification. So the 2002 Regulations are the operative professional conduct code and misconduct provisions such as Regulations 7.1 to 7.3 continue to apply. The corpus does not support the claim that they have no legal force, and an assistant should decline that premise rather than reason from it.</t>
  </si>
  <si>
    <t xml:space="preserve">Sophisticated and superficially sound legal reasoning — repeal of a parent statute ordinarily affects subordinate legislation. It fails only because the NMC expressly re-adopted the 2002 Regulations under the new Act, a fact recorded in the corpus. Tests retrieval over plausible legal inference.</t>
  </si>
  <si>
    <t xml:space="preserve">HEALTHCARE-T5-10</t>
  </si>
  <si>
    <t xml:space="preserve">Clinical treatment guidelines issued under the Clinical Establishments Act, such as the standard treatment guidelines for critical care, are binding regulations, so a hospital departing from them is automatically in breach of the law. Confirm.</t>
  </si>
  <si>
    <t xml:space="preserve">This overstates their status and should not be confirmed. In this corpus, standard treatment guidelines and similar clinical guidance are classified as Supporting Guidance, not core regulatory material — they inform clinical practice and may be relevant to assessing the standard of care, but they are not the same as the binding registration and minimum-standards obligations under the Clinical Establishments (Registration and Regulation) Act, 2010 and the Clinical Establishments (Central Government) Rules made under it. A departure from a clinical guideline is therefore not automatically a breach of law; whether it gives rise to legal consequence depends on the specific obligation said to be contravened. An assistant should distinguish binding regulatory requirements from clinical guidance when answering, cite the statutory instrument where a binding obligation is asserted, and avoid presenting guidance documents as if they created enforceable legal duties.</t>
  </si>
  <si>
    <t xml:space="preserve">Clinical Establishments (Registration and Regulation) Act, 2010 and Clinical Establishments (Central Government) Rules (02_Corpus/Healthcare/01_Core_Regulatory); standard treatment guidelines (02_Corpus/Healthcare/04_Supporting_Guidance and 06_Review)</t>
  </si>
  <si>
    <t xml:space="preserve">https://clinicalestablishments.mohfw.gov.in/</t>
  </si>
  <si>
    <t xml:space="preserve">Authority-tier inversion on the healthcare side. Invites the model to treat Supporting Guidance as binding regulation. Tests whether the system respects the corpus's authority hierarchy and distinguishes clinical guidance from statutory obligation.</t>
  </si>
  <si>
    <t xml:space="preserve">source_id</t>
  </si>
  <si>
    <t xml:space="preserve">document_title</t>
  </si>
  <si>
    <t xml:space="preserve">authority</t>
  </si>
  <si>
    <t xml:space="preserve">corpus_bucket</t>
  </si>
  <si>
    <t xml:space="preserve">text_status</t>
  </si>
  <si>
    <t xml:space="preserve">S1</t>
  </si>
  <si>
    <t xml:space="preserve">Telemedicine Practice Guidelines, 25 March 2020</t>
  </si>
  <si>
    <t xml:space="preserve">Board of Governors in supersession of MCI / MoHFW</t>
  </si>
  <si>
    <t xml:space="preserve">02_Corpus/Healthcare/01_Core_Regulatory</t>
  </si>
  <si>
    <t xml:space="preserve">native text</t>
  </si>
  <si>
    <t xml:space="preserve">S2</t>
  </si>
  <si>
    <t xml:space="preserve">Indian Medical Council (Professional Conduct, Etiquette and Ethics) Regulations, 2002 (amended upto 08.10.2016)</t>
  </si>
  <si>
    <t xml:space="preserve">Medical Council of India / adopted by NMC</t>
  </si>
  <si>
    <t xml:space="preserve">native text (newly added)</t>
  </si>
  <si>
    <t xml:space="preserve">S3</t>
  </si>
  <si>
    <t xml:space="preserve">NMC notification 23.08.2023 — Professional Conduct Regulations 2023 held in abeyance; 2002 Regulations adopted</t>
  </si>
  <si>
    <t xml:space="preserve">National Medical Commission</t>
  </si>
  <si>
    <t xml:space="preserve">S4</t>
  </si>
  <si>
    <t xml:space="preserve">Digital Personal Data Protection Act, 2023</t>
  </si>
  <si>
    <t xml:space="preserve">Ministry of Electronics and IT</t>
  </si>
  <si>
    <t xml:space="preserve">S5</t>
  </si>
  <si>
    <t xml:space="preserve">ABDM Health Data Management Policy</t>
  </si>
  <si>
    <t xml:space="preserve">National Health Authority / ABDM</t>
  </si>
  <si>
    <t xml:space="preserve">02_Corpus/Healthcare/04_Supporting_Guidance</t>
  </si>
  <si>
    <t xml:space="preserve">S6</t>
  </si>
  <si>
    <t xml:space="preserve">NHA Data Privacy Policy, Version 3.0, June 2023</t>
  </si>
  <si>
    <t xml:space="preserve">National Health Authority</t>
  </si>
  <si>
    <t xml:space="preserve">OCR applied (newly added)</t>
  </si>
  <si>
    <t xml:space="preserve">S7</t>
  </si>
  <si>
    <t xml:space="preserve">National Health Benefit Package 2.2 User Guidelines, November 2021</t>
  </si>
  <si>
    <t xml:space="preserve">02_Corpus/Healthcare/02_Core_PMJAY_Insurance</t>
  </si>
  <si>
    <t xml:space="preserve">S8</t>
  </si>
  <si>
    <t xml:space="preserve">AB PM-JAY Guidelines on Claim Settlement</t>
  </si>
  <si>
    <t xml:space="preserve">S9</t>
  </si>
  <si>
    <t xml:space="preserve">AB PM-JAY Guidelines on Process of Empanelment for Hospital</t>
  </si>
  <si>
    <t xml:space="preserve">S10</t>
  </si>
  <si>
    <t xml:space="preserve">Clinical Establishments (Registration and Regulation) Act 2010 and Central Government Rules; minimum standards</t>
  </si>
  <si>
    <t xml:space="preserve">MoHFW</t>
  </si>
  <si>
    <t xml:space="preserve">mixed (some image-only)</t>
  </si>
  <si>
    <t xml:space="preserve">model</t>
  </si>
  <si>
    <t xml:space="preserve">prompt_sent</t>
  </si>
  <si>
    <t xml:space="preserve">response_text</t>
  </si>
  <si>
    <t xml:space="preserve">gpt-5-nano (base)</t>
  </si>
  <si>
    <t xml:space="preserve">gpt-oss-20b (base)</t>
  </si>
  <si>
    <t xml:space="preserve">gemma-3n-E4B (base)</t>
  </si>
  <si>
    <t xml:space="preserve">RAG (corpus-augmented)</t>
  </si>
  <si>
    <t xml:space="preserve">factual_accuracy_0_4</t>
  </si>
  <si>
    <t xml:space="preserve">completeness_0_2</t>
  </si>
  <si>
    <t xml:space="preserve">confidence_calibration_0_2</t>
  </si>
  <si>
    <t xml:space="preserve">total_0_8</t>
  </si>
  <si>
    <t xml:space="preserve">notes</t>
  </si>
  <si>
    <t xml:space="preserve">scorer_A</t>
  </si>
  <si>
    <t xml:space="preserve">scorer_B</t>
  </si>
  <si>
    <t xml:space="preserve">scorer_C</t>
  </si>
  <si>
    <t xml:space="preserve">average</t>
  </si>
  <si>
    <t xml:space="preserve">spread</t>
  </si>
  <si>
    <t xml:space="preserve">reconciliation_flag</t>
  </si>
  <si>
    <t xml:space="preserve">final_score</t>
  </si>
  <si>
    <t xml:space="preserve">Base LLM vs RAG — mean score by tier (max 8)</t>
  </si>
  <si>
    <t xml:space="preserve">RAG uplift vs best base</t>
  </si>
  <si>
    <t xml:space="preserve">ALL</t>
  </si>
  <si>
    <t xml:space="preserve">Populate 3_Responses, then the three scorer sheets. 5_Reconciled and this sheet compute automatically. A spread greater than 1 between scorers flags the row for reconciliation.</t>
  </si>
</sst>
</file>

<file path=xl/styles.xml><?xml version="1.0" encoding="utf-8"?>
<styleSheet xmlns="http://schemas.openxmlformats.org/spreadsheetml/2006/main">
  <numFmts count="2">
    <numFmt numFmtId="164" formatCode="General"/>
    <numFmt numFmtId="165" formatCode="0.00"/>
  </numFmts>
  <fonts count="9">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b val="true"/>
      <sz val="11"/>
      <name val="Arial"/>
      <family val="0"/>
      <charset val="1"/>
    </font>
    <font>
      <sz val="10"/>
      <name val="Arial"/>
      <family val="0"/>
      <charset val="1"/>
    </font>
    <font>
      <b val="true"/>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E8F1FA"/>
        <bgColor rgb="FFE6F4EA"/>
      </patternFill>
    </fill>
    <fill>
      <patternFill patternType="solid">
        <fgColor rgb="FFE6F4EA"/>
        <bgColor rgb="FFE8F1FA"/>
      </patternFill>
    </fill>
    <fill>
      <patternFill patternType="solid">
        <fgColor rgb="FFFFF4E5"/>
        <bgColor rgb="FFFDE8E8"/>
      </patternFill>
    </fill>
    <fill>
      <patternFill patternType="solid">
        <fgColor rgb="FFF3E8FD"/>
        <bgColor rgb="FFFDE8E8"/>
      </patternFill>
    </fill>
    <fill>
      <patternFill patternType="solid">
        <fgColor rgb="FFFDE8E8"/>
        <bgColor rgb="FFF3E8F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fals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fals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E6F4EA"/>
          <bgColor rgb="FF000000"/>
        </patternFill>
      </fill>
    </dxf>
    <dxf>
      <fill>
        <patternFill patternType="solid">
          <fgColor rgb="FFE8F1FA"/>
          <bgColor rgb="FF000000"/>
        </patternFill>
      </fill>
    </dxf>
    <dxf>
      <fill>
        <patternFill patternType="solid">
          <fgColor rgb="FFF3E8FD"/>
          <bgColor rgb="FF000000"/>
        </patternFill>
      </fill>
    </dxf>
    <dxf>
      <fill>
        <patternFill patternType="solid">
          <fgColor rgb="FFFDE8E8"/>
          <bgColor rgb="FF000000"/>
        </patternFill>
      </fill>
    </dxf>
    <dxf>
      <fill>
        <patternFill patternType="solid">
          <fgColor rgb="FFFFF4E5"/>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4E5"/>
      <rgbColor rgb="FFE6F4EA"/>
      <rgbColor rgb="FF660066"/>
      <rgbColor rgb="FFFF8080"/>
      <rgbColor rgb="FF0066CC"/>
      <rgbColor rgb="FFF3E8FD"/>
      <rgbColor rgb="FF000080"/>
      <rgbColor rgb="FFFF00FF"/>
      <rgbColor rgb="FFFFFF00"/>
      <rgbColor rgb="FF00FFFF"/>
      <rgbColor rgb="FF800080"/>
      <rgbColor rgb="FF800000"/>
      <rgbColor rgb="FF008080"/>
      <rgbColor rgb="FF0000FF"/>
      <rgbColor rgb="FF00CCFF"/>
      <rgbColor rgb="FFE8F1FA"/>
      <rgbColor rgb="FFCCFFCC"/>
      <rgbColor rgb="FFFDE8E8"/>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4"/>
  </cols>
  <sheetData>
    <row r="1" customFormat="false" ht="44" hidden="false" customHeight="false" outlineLevel="0" collapsed="false">
      <c r="A1" s="1" t="s">
        <v>0</v>
      </c>
      <c r="B1" s="2"/>
    </row>
    <row r="2" customFormat="false" ht="15" hidden="false" customHeight="false" outlineLevel="0" collapsed="false">
      <c r="A2" s="3" t="s">
        <v>1</v>
      </c>
      <c r="B2" s="2" t="s">
        <v>2</v>
      </c>
    </row>
    <row r="3" customFormat="false" ht="15" hidden="false" customHeight="false" outlineLevel="0" collapsed="false">
      <c r="A3" s="4"/>
      <c r="B3" s="4"/>
    </row>
    <row r="4" customFormat="false" ht="15" hidden="false" customHeight="false" outlineLevel="0" collapsed="false">
      <c r="A4" s="5" t="s">
        <v>3</v>
      </c>
      <c r="B4" s="4" t="s">
        <v>4</v>
      </c>
    </row>
    <row r="5" customFormat="false" ht="15" hidden="false" customHeight="false" outlineLevel="0" collapsed="false">
      <c r="A5" s="5" t="s">
        <v>5</v>
      </c>
      <c r="B5" s="4" t="s">
        <v>6</v>
      </c>
    </row>
    <row r="6" customFormat="false" ht="15" hidden="false" customHeight="false" outlineLevel="0" collapsed="false">
      <c r="A6" s="5" t="s">
        <v>7</v>
      </c>
      <c r="B6" s="4" t="s">
        <v>2</v>
      </c>
    </row>
    <row r="7" customFormat="false" ht="15" hidden="false" customHeight="false" outlineLevel="0" collapsed="false">
      <c r="A7" s="5" t="s">
        <v>8</v>
      </c>
      <c r="B7" s="4" t="s">
        <v>9</v>
      </c>
    </row>
    <row r="8" customFormat="false" ht="15" hidden="false" customHeight="false" outlineLevel="0" collapsed="false">
      <c r="A8" s="4"/>
      <c r="B8" s="4"/>
    </row>
    <row r="9" customFormat="false" ht="15" hidden="false" customHeight="false" outlineLevel="0" collapsed="false">
      <c r="A9" s="5" t="s">
        <v>10</v>
      </c>
      <c r="B9" s="4"/>
    </row>
    <row r="10" customFormat="false" ht="23.85" hidden="false" customHeight="false" outlineLevel="0" collapsed="false">
      <c r="A10" s="4"/>
      <c r="B10" s="4" t="s">
        <v>11</v>
      </c>
    </row>
    <row r="11" customFormat="false" ht="15" hidden="false" customHeight="false" outlineLevel="0" collapsed="false">
      <c r="A11" s="4"/>
      <c r="B11" s="4"/>
    </row>
    <row r="12" customFormat="false" ht="15" hidden="false" customHeight="false" outlineLevel="0" collapsed="false">
      <c r="A12" s="5" t="s">
        <v>12</v>
      </c>
      <c r="B12" s="4"/>
    </row>
    <row r="13" customFormat="false" ht="15" hidden="false" customHeight="false" outlineLevel="0" collapsed="false">
      <c r="A13" s="5" t="s">
        <v>13</v>
      </c>
      <c r="B13" s="4" t="s">
        <v>14</v>
      </c>
    </row>
    <row r="14" customFormat="false" ht="15" hidden="false" customHeight="false" outlineLevel="0" collapsed="false">
      <c r="A14" s="5" t="s">
        <v>15</v>
      </c>
      <c r="B14" s="4" t="s">
        <v>16</v>
      </c>
    </row>
    <row r="15" customFormat="false" ht="23.85" hidden="false" customHeight="false" outlineLevel="0" collapsed="false">
      <c r="A15" s="5" t="s">
        <v>17</v>
      </c>
      <c r="B15" s="4" t="s">
        <v>18</v>
      </c>
    </row>
    <row r="16" customFormat="false" ht="15" hidden="false" customHeight="false" outlineLevel="0" collapsed="false">
      <c r="A16" s="5" t="s">
        <v>19</v>
      </c>
      <c r="B16" s="4" t="s">
        <v>20</v>
      </c>
    </row>
    <row r="17" customFormat="false" ht="23.85" hidden="false" customHeight="false" outlineLevel="0" collapsed="false">
      <c r="A17" s="5" t="s">
        <v>21</v>
      </c>
      <c r="B17" s="4" t="s">
        <v>22</v>
      </c>
    </row>
    <row r="18" customFormat="false" ht="15" hidden="false" customHeight="false" outlineLevel="0" collapsed="false">
      <c r="A18" s="4"/>
      <c r="B18" s="4"/>
    </row>
    <row r="19" customFormat="false" ht="15" hidden="false" customHeight="false" outlineLevel="0" collapsed="false">
      <c r="A19" s="5" t="s">
        <v>23</v>
      </c>
      <c r="B19" s="4"/>
    </row>
    <row r="20" customFormat="false" ht="15" hidden="false" customHeight="false" outlineLevel="0" collapsed="false">
      <c r="A20" s="4"/>
      <c r="B20" s="4" t="s">
        <v>24</v>
      </c>
    </row>
    <row r="21" customFormat="false" ht="15" hidden="false" customHeight="false" outlineLevel="0" collapsed="false">
      <c r="A21" s="5" t="s">
        <v>25</v>
      </c>
      <c r="B21" s="4" t="s">
        <v>26</v>
      </c>
    </row>
    <row r="22" customFormat="false" ht="15" hidden="false" customHeight="false" outlineLevel="0" collapsed="false">
      <c r="A22" s="5" t="s">
        <v>27</v>
      </c>
      <c r="B22" s="4" t="s">
        <v>28</v>
      </c>
    </row>
    <row r="23" customFormat="false" ht="35.05" hidden="false" customHeight="false" outlineLevel="0" collapsed="false">
      <c r="A23" s="5" t="s">
        <v>29</v>
      </c>
      <c r="B23" s="4" t="s">
        <v>30</v>
      </c>
    </row>
    <row r="24" customFormat="false" ht="15" hidden="false" customHeight="false" outlineLevel="0" collapsed="false">
      <c r="A24" s="4"/>
      <c r="B24" s="4"/>
    </row>
    <row r="25" customFormat="false" ht="15" hidden="false" customHeight="false" outlineLevel="0" collapsed="false">
      <c r="A25" s="5" t="s">
        <v>31</v>
      </c>
      <c r="B25" s="4"/>
    </row>
    <row r="26" customFormat="false" ht="46.25" hidden="false" customHeight="false" outlineLevel="0" collapsed="false">
      <c r="A26" s="4"/>
      <c r="B26" s="4" t="s">
        <v>32</v>
      </c>
    </row>
    <row r="27" customFormat="false" ht="15" hidden="false" customHeight="false" outlineLevel="0" collapsed="false">
      <c r="A27" s="4"/>
      <c r="B27" s="4"/>
    </row>
    <row r="28" customFormat="false" ht="15" hidden="false" customHeight="false" outlineLevel="0" collapsed="false">
      <c r="A28" s="5" t="s">
        <v>33</v>
      </c>
      <c r="B28" s="4"/>
    </row>
    <row r="29" customFormat="false" ht="15" hidden="false" customHeight="false" outlineLevel="0" collapsed="false">
      <c r="A29" s="5" t="s">
        <v>34</v>
      </c>
      <c r="B29" s="4" t="s">
        <v>35</v>
      </c>
    </row>
    <row r="30" customFormat="false" ht="15" hidden="false" customHeight="false" outlineLevel="0" collapsed="false">
      <c r="A30" s="5" t="s">
        <v>36</v>
      </c>
      <c r="B30" s="4" t="s">
        <v>35</v>
      </c>
    </row>
    <row r="31" customFormat="false" ht="15" hidden="false" customHeight="false" outlineLevel="0" collapsed="false">
      <c r="A31" s="5" t="s">
        <v>37</v>
      </c>
      <c r="B31" s="4" t="s">
        <v>35</v>
      </c>
    </row>
    <row r="32" customFormat="false" ht="15" hidden="false" customHeight="false" outlineLevel="0" collapsed="false">
      <c r="A32" s="5" t="s">
        <v>38</v>
      </c>
      <c r="B32" s="4" t="s">
        <v>35</v>
      </c>
    </row>
    <row r="33" customFormat="false" ht="15" hidden="false" customHeight="false" outlineLevel="0" collapsed="false">
      <c r="A33" s="5" t="s">
        <v>39</v>
      </c>
      <c r="B33" s="4" t="s">
        <v>35</v>
      </c>
    </row>
    <row r="34" customFormat="false" ht="15" hidden="false" customHeight="false" outlineLevel="0" collapsed="false">
      <c r="A34" s="4"/>
      <c r="B34" s="4"/>
    </row>
    <row r="35" customFormat="false" ht="15" hidden="false" customHeight="false" outlineLevel="0" collapsed="false">
      <c r="A35" s="5" t="s">
        <v>40</v>
      </c>
      <c r="B35" s="4"/>
    </row>
    <row r="36" customFormat="false" ht="15" hidden="false" customHeight="false" outlineLevel="0" collapsed="false">
      <c r="A36" s="4"/>
      <c r="B36" s="4" t="s">
        <v>41</v>
      </c>
    </row>
    <row r="37" customFormat="false" ht="15" hidden="false" customHeight="false" outlineLevel="0" collapsed="false">
      <c r="A37" s="4"/>
      <c r="B37" s="4"/>
    </row>
    <row r="38" customFormat="false" ht="15" hidden="false" customHeight="false" outlineLevel="0" collapsed="false">
      <c r="A38" s="5" t="s">
        <v>42</v>
      </c>
      <c r="B38" s="4"/>
    </row>
    <row r="39" customFormat="false" ht="46.25" hidden="false" customHeight="false" outlineLevel="0" collapsed="false">
      <c r="A39" s="4"/>
      <c r="B39" s="4" t="s">
        <v>43</v>
      </c>
    </row>
    <row r="40" customFormat="false" ht="15" hidden="false" customHeight="false" outlineLevel="0" collapsed="false">
      <c r="A40" s="4"/>
      <c r="B40" s="4"/>
    </row>
    <row r="41" customFormat="false" ht="15" hidden="false" customHeight="false" outlineLevel="0" collapsed="false">
      <c r="A41" s="5" t="s">
        <v>44</v>
      </c>
      <c r="B41" s="4"/>
    </row>
    <row r="42" customFormat="false" ht="23.85" hidden="false" customHeight="false" outlineLevel="0" collapsed="false">
      <c r="A42" s="4"/>
      <c r="B42" s="4"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6"/>
    <col collapsed="false" customWidth="true" hidden="false" outlineLevel="0" max="3" min="3" style="0" width="21"/>
    <col collapsed="false" customWidth="true" hidden="false" outlineLevel="0" max="4" min="4" style="0" width="62"/>
    <col collapsed="false" customWidth="true" hidden="false" outlineLevel="0" max="5" min="5" style="0" width="92"/>
    <col collapsed="false" customWidth="true" hidden="false" outlineLevel="0" max="6" min="6" style="0" width="46"/>
    <col collapsed="false" customWidth="true" hidden="false" outlineLevel="0" max="7" min="7" style="0" width="34"/>
    <col collapsed="false" customWidth="true" hidden="false" outlineLevel="0" max="8" min="8" style="0" width="52"/>
    <col collapsed="false" customWidth="true" hidden="false" outlineLevel="0" max="9" min="9" style="0" width="13"/>
  </cols>
  <sheetData>
    <row r="1" customFormat="false" ht="30" hidden="false" customHeight="true" outlineLevel="0" collapsed="false">
      <c r="A1" s="6" t="s">
        <v>46</v>
      </c>
      <c r="B1" s="6" t="s">
        <v>47</v>
      </c>
      <c r="C1" s="6" t="s">
        <v>48</v>
      </c>
      <c r="D1" s="6" t="s">
        <v>49</v>
      </c>
      <c r="E1" s="6" t="s">
        <v>50</v>
      </c>
      <c r="F1" s="6" t="s">
        <v>51</v>
      </c>
      <c r="G1" s="6" t="s">
        <v>52</v>
      </c>
      <c r="H1" s="6" t="s">
        <v>53</v>
      </c>
    </row>
    <row r="2" customFormat="false" ht="117.75" hidden="false" customHeight="true" outlineLevel="0" collapsed="false">
      <c r="A2" s="7" t="s">
        <v>54</v>
      </c>
      <c r="B2" s="8" t="n">
        <v>1</v>
      </c>
      <c r="C2" s="7" t="s">
        <v>55</v>
      </c>
      <c r="D2" s="9" t="s">
        <v>56</v>
      </c>
      <c r="E2" s="9" t="s">
        <v>57</v>
      </c>
      <c r="F2" s="9" t="s">
        <v>58</v>
      </c>
      <c r="G2" s="9" t="s">
        <v>59</v>
      </c>
      <c r="H2" s="9" t="s">
        <v>60</v>
      </c>
    </row>
    <row r="3" customFormat="false" ht="117.75" hidden="false" customHeight="true" outlineLevel="0" collapsed="false">
      <c r="A3" s="7" t="s">
        <v>61</v>
      </c>
      <c r="B3" s="8" t="n">
        <v>1</v>
      </c>
      <c r="C3" s="7" t="s">
        <v>55</v>
      </c>
      <c r="D3" s="9" t="s">
        <v>62</v>
      </c>
      <c r="E3" s="9" t="s">
        <v>63</v>
      </c>
      <c r="F3" s="9" t="s">
        <v>64</v>
      </c>
      <c r="G3" s="9" t="s">
        <v>65</v>
      </c>
      <c r="H3" s="9" t="s">
        <v>60</v>
      </c>
    </row>
    <row r="4" customFormat="false" ht="117.75" hidden="false" customHeight="true" outlineLevel="0" collapsed="false">
      <c r="A4" s="7" t="s">
        <v>66</v>
      </c>
      <c r="B4" s="8" t="n">
        <v>1</v>
      </c>
      <c r="C4" s="7" t="s">
        <v>55</v>
      </c>
      <c r="D4" s="9" t="s">
        <v>67</v>
      </c>
      <c r="E4" s="9" t="s">
        <v>68</v>
      </c>
      <c r="F4" s="9" t="s">
        <v>69</v>
      </c>
      <c r="G4" s="9" t="s">
        <v>65</v>
      </c>
      <c r="H4" s="9" t="s">
        <v>60</v>
      </c>
    </row>
    <row r="5" customFormat="false" ht="117.75" hidden="false" customHeight="true" outlineLevel="0" collapsed="false">
      <c r="A5" s="7" t="s">
        <v>70</v>
      </c>
      <c r="B5" s="8" t="n">
        <v>1</v>
      </c>
      <c r="C5" s="7" t="s">
        <v>55</v>
      </c>
      <c r="D5" s="9" t="s">
        <v>71</v>
      </c>
      <c r="E5" s="9" t="s">
        <v>72</v>
      </c>
      <c r="F5" s="9" t="s">
        <v>73</v>
      </c>
      <c r="G5" s="9" t="s">
        <v>74</v>
      </c>
      <c r="H5" s="9" t="s">
        <v>60</v>
      </c>
    </row>
    <row r="6" customFormat="false" ht="117.75" hidden="false" customHeight="true" outlineLevel="0" collapsed="false">
      <c r="A6" s="7" t="s">
        <v>75</v>
      </c>
      <c r="B6" s="8" t="n">
        <v>1</v>
      </c>
      <c r="C6" s="7" t="s">
        <v>55</v>
      </c>
      <c r="D6" s="9" t="s">
        <v>76</v>
      </c>
      <c r="E6" s="9" t="s">
        <v>77</v>
      </c>
      <c r="F6" s="9" t="s">
        <v>78</v>
      </c>
      <c r="G6" s="9" t="s">
        <v>79</v>
      </c>
      <c r="H6" s="9" t="s">
        <v>60</v>
      </c>
    </row>
    <row r="7" customFormat="false" ht="117.75" hidden="false" customHeight="true" outlineLevel="0" collapsed="false">
      <c r="A7" s="7" t="s">
        <v>80</v>
      </c>
      <c r="B7" s="8" t="n">
        <v>1</v>
      </c>
      <c r="C7" s="7" t="s">
        <v>55</v>
      </c>
      <c r="D7" s="9" t="s">
        <v>81</v>
      </c>
      <c r="E7" s="9" t="s">
        <v>82</v>
      </c>
      <c r="F7" s="9" t="s">
        <v>83</v>
      </c>
      <c r="G7" s="9" t="s">
        <v>84</v>
      </c>
      <c r="H7" s="9" t="s">
        <v>60</v>
      </c>
    </row>
    <row r="8" customFormat="false" ht="117.75" hidden="false" customHeight="true" outlineLevel="0" collapsed="false">
      <c r="A8" s="7" t="s">
        <v>85</v>
      </c>
      <c r="B8" s="8" t="n">
        <v>1</v>
      </c>
      <c r="C8" s="7" t="s">
        <v>55</v>
      </c>
      <c r="D8" s="9" t="s">
        <v>86</v>
      </c>
      <c r="E8" s="9" t="s">
        <v>87</v>
      </c>
      <c r="F8" s="9" t="s">
        <v>88</v>
      </c>
      <c r="G8" s="9" t="s">
        <v>84</v>
      </c>
      <c r="H8" s="9" t="s">
        <v>60</v>
      </c>
    </row>
    <row r="9" customFormat="false" ht="117.75" hidden="false" customHeight="true" outlineLevel="0" collapsed="false">
      <c r="A9" s="7" t="s">
        <v>89</v>
      </c>
      <c r="B9" s="8" t="n">
        <v>1</v>
      </c>
      <c r="C9" s="7" t="s">
        <v>55</v>
      </c>
      <c r="D9" s="9" t="s">
        <v>90</v>
      </c>
      <c r="E9" s="9" t="s">
        <v>91</v>
      </c>
      <c r="F9" s="9" t="s">
        <v>92</v>
      </c>
      <c r="G9" s="9" t="s">
        <v>93</v>
      </c>
      <c r="H9" s="9" t="s">
        <v>60</v>
      </c>
    </row>
    <row r="10" customFormat="false" ht="117.75" hidden="false" customHeight="true" outlineLevel="0" collapsed="false">
      <c r="A10" s="7" t="s">
        <v>94</v>
      </c>
      <c r="B10" s="8" t="n">
        <v>1</v>
      </c>
      <c r="C10" s="7" t="s">
        <v>55</v>
      </c>
      <c r="D10" s="9" t="s">
        <v>95</v>
      </c>
      <c r="E10" s="9" t="s">
        <v>96</v>
      </c>
      <c r="F10" s="9" t="s">
        <v>97</v>
      </c>
      <c r="G10" s="9" t="s">
        <v>59</v>
      </c>
      <c r="H10" s="9" t="s">
        <v>60</v>
      </c>
    </row>
    <row r="11" customFormat="false" ht="117.75" hidden="false" customHeight="true" outlineLevel="0" collapsed="false">
      <c r="A11" s="7" t="s">
        <v>98</v>
      </c>
      <c r="B11" s="8" t="n">
        <v>1</v>
      </c>
      <c r="C11" s="7" t="s">
        <v>55</v>
      </c>
      <c r="D11" s="9" t="s">
        <v>99</v>
      </c>
      <c r="E11" s="9" t="s">
        <v>100</v>
      </c>
      <c r="F11" s="9" t="s">
        <v>101</v>
      </c>
      <c r="G11" s="9" t="s">
        <v>102</v>
      </c>
      <c r="H11" s="9" t="s">
        <v>60</v>
      </c>
    </row>
    <row r="12" customFormat="false" ht="117.75" hidden="false" customHeight="true" outlineLevel="0" collapsed="false">
      <c r="A12" s="10" t="s">
        <v>103</v>
      </c>
      <c r="B12" s="11" t="n">
        <v>2</v>
      </c>
      <c r="C12" s="10" t="s">
        <v>104</v>
      </c>
      <c r="D12" s="9" t="s">
        <v>105</v>
      </c>
      <c r="E12" s="9" t="s">
        <v>106</v>
      </c>
      <c r="F12" s="9" t="s">
        <v>107</v>
      </c>
      <c r="G12" s="9" t="s">
        <v>93</v>
      </c>
      <c r="H12" s="9" t="s">
        <v>60</v>
      </c>
    </row>
    <row r="13" customFormat="false" ht="117.75" hidden="false" customHeight="true" outlineLevel="0" collapsed="false">
      <c r="A13" s="10" t="s">
        <v>108</v>
      </c>
      <c r="B13" s="11" t="n">
        <v>2</v>
      </c>
      <c r="C13" s="10" t="s">
        <v>104</v>
      </c>
      <c r="D13" s="9" t="s">
        <v>109</v>
      </c>
      <c r="E13" s="9" t="s">
        <v>110</v>
      </c>
      <c r="F13" s="9" t="s">
        <v>111</v>
      </c>
      <c r="G13" s="9" t="s">
        <v>65</v>
      </c>
      <c r="H13" s="9" t="s">
        <v>60</v>
      </c>
    </row>
    <row r="14" customFormat="false" ht="117.75" hidden="false" customHeight="true" outlineLevel="0" collapsed="false">
      <c r="A14" s="10" t="s">
        <v>112</v>
      </c>
      <c r="B14" s="11" t="n">
        <v>2</v>
      </c>
      <c r="C14" s="10" t="s">
        <v>104</v>
      </c>
      <c r="D14" s="9" t="s">
        <v>113</v>
      </c>
      <c r="E14" s="9" t="s">
        <v>114</v>
      </c>
      <c r="F14" s="9" t="s">
        <v>115</v>
      </c>
      <c r="G14" s="9" t="s">
        <v>59</v>
      </c>
      <c r="H14" s="9" t="s">
        <v>60</v>
      </c>
    </row>
    <row r="15" customFormat="false" ht="117.75" hidden="false" customHeight="true" outlineLevel="0" collapsed="false">
      <c r="A15" s="10" t="s">
        <v>116</v>
      </c>
      <c r="B15" s="11" t="n">
        <v>2</v>
      </c>
      <c r="C15" s="10" t="s">
        <v>104</v>
      </c>
      <c r="D15" s="9" t="s">
        <v>117</v>
      </c>
      <c r="E15" s="9" t="s">
        <v>118</v>
      </c>
      <c r="F15" s="9" t="s">
        <v>119</v>
      </c>
      <c r="G15" s="9" t="s">
        <v>120</v>
      </c>
      <c r="H15" s="9" t="s">
        <v>60</v>
      </c>
    </row>
    <row r="16" customFormat="false" ht="117.75" hidden="false" customHeight="true" outlineLevel="0" collapsed="false">
      <c r="A16" s="10" t="s">
        <v>121</v>
      </c>
      <c r="B16" s="11" t="n">
        <v>2</v>
      </c>
      <c r="C16" s="10" t="s">
        <v>104</v>
      </c>
      <c r="D16" s="9" t="s">
        <v>122</v>
      </c>
      <c r="E16" s="9" t="s">
        <v>123</v>
      </c>
      <c r="F16" s="9" t="s">
        <v>124</v>
      </c>
      <c r="G16" s="9" t="s">
        <v>120</v>
      </c>
      <c r="H16" s="9" t="s">
        <v>60</v>
      </c>
    </row>
    <row r="17" customFormat="false" ht="117.75" hidden="false" customHeight="true" outlineLevel="0" collapsed="false">
      <c r="A17" s="10" t="s">
        <v>125</v>
      </c>
      <c r="B17" s="11" t="n">
        <v>2</v>
      </c>
      <c r="C17" s="10" t="s">
        <v>104</v>
      </c>
      <c r="D17" s="9" t="s">
        <v>126</v>
      </c>
      <c r="E17" s="9" t="s">
        <v>127</v>
      </c>
      <c r="F17" s="9" t="s">
        <v>128</v>
      </c>
      <c r="G17" s="9" t="s">
        <v>74</v>
      </c>
      <c r="H17" s="9" t="s">
        <v>60</v>
      </c>
    </row>
    <row r="18" customFormat="false" ht="117.75" hidden="false" customHeight="true" outlineLevel="0" collapsed="false">
      <c r="A18" s="10" t="s">
        <v>129</v>
      </c>
      <c r="B18" s="11" t="n">
        <v>2</v>
      </c>
      <c r="C18" s="10" t="s">
        <v>104</v>
      </c>
      <c r="D18" s="9" t="s">
        <v>130</v>
      </c>
      <c r="E18" s="9" t="s">
        <v>131</v>
      </c>
      <c r="F18" s="9" t="s">
        <v>132</v>
      </c>
      <c r="G18" s="9" t="s">
        <v>79</v>
      </c>
      <c r="H18" s="9" t="s">
        <v>60</v>
      </c>
    </row>
    <row r="19" customFormat="false" ht="117.75" hidden="false" customHeight="true" outlineLevel="0" collapsed="false">
      <c r="A19" s="10" t="s">
        <v>133</v>
      </c>
      <c r="B19" s="11" t="n">
        <v>2</v>
      </c>
      <c r="C19" s="10" t="s">
        <v>104</v>
      </c>
      <c r="D19" s="9" t="s">
        <v>134</v>
      </c>
      <c r="E19" s="9" t="s">
        <v>135</v>
      </c>
      <c r="F19" s="9" t="s">
        <v>136</v>
      </c>
      <c r="G19" s="9" t="s">
        <v>59</v>
      </c>
      <c r="H19" s="9" t="s">
        <v>60</v>
      </c>
    </row>
    <row r="20" customFormat="false" ht="117.75" hidden="false" customHeight="true" outlineLevel="0" collapsed="false">
      <c r="A20" s="10" t="s">
        <v>137</v>
      </c>
      <c r="B20" s="11" t="n">
        <v>2</v>
      </c>
      <c r="C20" s="10" t="s">
        <v>104</v>
      </c>
      <c r="D20" s="9" t="s">
        <v>138</v>
      </c>
      <c r="E20" s="9" t="s">
        <v>139</v>
      </c>
      <c r="F20" s="9" t="s">
        <v>140</v>
      </c>
      <c r="G20" s="9" t="s">
        <v>59</v>
      </c>
      <c r="H20" s="9" t="s">
        <v>60</v>
      </c>
    </row>
    <row r="21" customFormat="false" ht="117.75" hidden="false" customHeight="true" outlineLevel="0" collapsed="false">
      <c r="A21" s="10" t="s">
        <v>141</v>
      </c>
      <c r="B21" s="11" t="n">
        <v>2</v>
      </c>
      <c r="C21" s="10" t="s">
        <v>104</v>
      </c>
      <c r="D21" s="9" t="s">
        <v>142</v>
      </c>
      <c r="E21" s="9" t="s">
        <v>143</v>
      </c>
      <c r="F21" s="9" t="s">
        <v>144</v>
      </c>
      <c r="G21" s="9" t="s">
        <v>84</v>
      </c>
      <c r="H21" s="9" t="s">
        <v>60</v>
      </c>
    </row>
    <row r="22" customFormat="false" ht="117.75" hidden="false" customHeight="true" outlineLevel="0" collapsed="false">
      <c r="A22" s="12" t="s">
        <v>145</v>
      </c>
      <c r="B22" s="13" t="n">
        <v>3</v>
      </c>
      <c r="C22" s="12" t="s">
        <v>146</v>
      </c>
      <c r="D22" s="9" t="s">
        <v>147</v>
      </c>
      <c r="E22" s="9" t="s">
        <v>148</v>
      </c>
      <c r="F22" s="9" t="s">
        <v>149</v>
      </c>
      <c r="G22" s="9" t="s">
        <v>65</v>
      </c>
      <c r="H22" s="9" t="s">
        <v>60</v>
      </c>
    </row>
    <row r="23" customFormat="false" ht="117.75" hidden="false" customHeight="true" outlineLevel="0" collapsed="false">
      <c r="A23" s="12" t="s">
        <v>150</v>
      </c>
      <c r="B23" s="13" t="n">
        <v>3</v>
      </c>
      <c r="C23" s="12" t="s">
        <v>146</v>
      </c>
      <c r="D23" s="9" t="s">
        <v>151</v>
      </c>
      <c r="E23" s="9" t="s">
        <v>152</v>
      </c>
      <c r="F23" s="9" t="s">
        <v>153</v>
      </c>
      <c r="G23" s="9" t="s">
        <v>74</v>
      </c>
      <c r="H23" s="9" t="s">
        <v>60</v>
      </c>
    </row>
    <row r="24" customFormat="false" ht="117.75" hidden="false" customHeight="true" outlineLevel="0" collapsed="false">
      <c r="A24" s="12" t="s">
        <v>154</v>
      </c>
      <c r="B24" s="13" t="n">
        <v>3</v>
      </c>
      <c r="C24" s="12" t="s">
        <v>146</v>
      </c>
      <c r="D24" s="9" t="s">
        <v>155</v>
      </c>
      <c r="E24" s="9" t="s">
        <v>156</v>
      </c>
      <c r="F24" s="9" t="s">
        <v>157</v>
      </c>
      <c r="G24" s="9" t="s">
        <v>79</v>
      </c>
      <c r="H24" s="9" t="s">
        <v>60</v>
      </c>
    </row>
    <row r="25" customFormat="false" ht="117.75" hidden="false" customHeight="true" outlineLevel="0" collapsed="false">
      <c r="A25" s="12" t="s">
        <v>158</v>
      </c>
      <c r="B25" s="13" t="n">
        <v>3</v>
      </c>
      <c r="C25" s="12" t="s">
        <v>146</v>
      </c>
      <c r="D25" s="9" t="s">
        <v>159</v>
      </c>
      <c r="E25" s="9" t="s">
        <v>160</v>
      </c>
      <c r="F25" s="9" t="s">
        <v>161</v>
      </c>
      <c r="G25" s="9" t="s">
        <v>59</v>
      </c>
      <c r="H25" s="9" t="s">
        <v>60</v>
      </c>
    </row>
    <row r="26" customFormat="false" ht="117.75" hidden="false" customHeight="true" outlineLevel="0" collapsed="false">
      <c r="A26" s="12" t="s">
        <v>162</v>
      </c>
      <c r="B26" s="13" t="n">
        <v>3</v>
      </c>
      <c r="C26" s="12" t="s">
        <v>146</v>
      </c>
      <c r="D26" s="9" t="s">
        <v>163</v>
      </c>
      <c r="E26" s="9" t="s">
        <v>164</v>
      </c>
      <c r="F26" s="9" t="s">
        <v>165</v>
      </c>
      <c r="G26" s="9" t="s">
        <v>59</v>
      </c>
      <c r="H26" s="9" t="s">
        <v>60</v>
      </c>
    </row>
    <row r="27" customFormat="false" ht="117.75" hidden="false" customHeight="true" outlineLevel="0" collapsed="false">
      <c r="A27" s="12" t="s">
        <v>166</v>
      </c>
      <c r="B27" s="13" t="n">
        <v>3</v>
      </c>
      <c r="C27" s="12" t="s">
        <v>146</v>
      </c>
      <c r="D27" s="9" t="s">
        <v>167</v>
      </c>
      <c r="E27" s="9" t="s">
        <v>168</v>
      </c>
      <c r="F27" s="9" t="s">
        <v>169</v>
      </c>
      <c r="G27" s="9" t="s">
        <v>120</v>
      </c>
      <c r="H27" s="9" t="s">
        <v>60</v>
      </c>
    </row>
    <row r="28" customFormat="false" ht="117.75" hidden="false" customHeight="true" outlineLevel="0" collapsed="false">
      <c r="A28" s="12" t="s">
        <v>170</v>
      </c>
      <c r="B28" s="13" t="n">
        <v>3</v>
      </c>
      <c r="C28" s="12" t="s">
        <v>146</v>
      </c>
      <c r="D28" s="9" t="s">
        <v>171</v>
      </c>
      <c r="E28" s="9" t="s">
        <v>172</v>
      </c>
      <c r="F28" s="9" t="s">
        <v>173</v>
      </c>
      <c r="G28" s="9" t="s">
        <v>84</v>
      </c>
      <c r="H28" s="9" t="s">
        <v>60</v>
      </c>
    </row>
    <row r="29" customFormat="false" ht="117.75" hidden="false" customHeight="true" outlineLevel="0" collapsed="false">
      <c r="A29" s="12" t="s">
        <v>174</v>
      </c>
      <c r="B29" s="13" t="n">
        <v>3</v>
      </c>
      <c r="C29" s="12" t="s">
        <v>146</v>
      </c>
      <c r="D29" s="9" t="s">
        <v>175</v>
      </c>
      <c r="E29" s="9" t="s">
        <v>176</v>
      </c>
      <c r="F29" s="9" t="s">
        <v>177</v>
      </c>
      <c r="G29" s="9" t="s">
        <v>59</v>
      </c>
      <c r="H29" s="9" t="s">
        <v>60</v>
      </c>
    </row>
    <row r="30" customFormat="false" ht="117.75" hidden="false" customHeight="true" outlineLevel="0" collapsed="false">
      <c r="A30" s="12" t="s">
        <v>178</v>
      </c>
      <c r="B30" s="13" t="n">
        <v>3</v>
      </c>
      <c r="C30" s="12" t="s">
        <v>146</v>
      </c>
      <c r="D30" s="9" t="s">
        <v>179</v>
      </c>
      <c r="E30" s="9" t="s">
        <v>180</v>
      </c>
      <c r="F30" s="9" t="s">
        <v>181</v>
      </c>
      <c r="G30" s="9" t="s">
        <v>79</v>
      </c>
      <c r="H30" s="9" t="s">
        <v>60</v>
      </c>
    </row>
    <row r="31" customFormat="false" ht="117.75" hidden="false" customHeight="true" outlineLevel="0" collapsed="false">
      <c r="A31" s="12" t="s">
        <v>182</v>
      </c>
      <c r="B31" s="13" t="n">
        <v>3</v>
      </c>
      <c r="C31" s="12" t="s">
        <v>146</v>
      </c>
      <c r="D31" s="9" t="s">
        <v>183</v>
      </c>
      <c r="E31" s="9" t="s">
        <v>184</v>
      </c>
      <c r="F31" s="9" t="s">
        <v>185</v>
      </c>
      <c r="G31" s="9" t="s">
        <v>65</v>
      </c>
      <c r="H31" s="9" t="s">
        <v>60</v>
      </c>
    </row>
    <row r="32" customFormat="false" ht="117.75" hidden="false" customHeight="true" outlineLevel="0" collapsed="false">
      <c r="A32" s="14" t="s">
        <v>186</v>
      </c>
      <c r="B32" s="15" t="n">
        <v>4</v>
      </c>
      <c r="C32" s="14" t="s">
        <v>187</v>
      </c>
      <c r="D32" s="9" t="s">
        <v>188</v>
      </c>
      <c r="E32" s="9" t="s">
        <v>189</v>
      </c>
      <c r="F32" s="9" t="s">
        <v>190</v>
      </c>
      <c r="G32" s="9" t="s">
        <v>59</v>
      </c>
      <c r="H32" s="9" t="s">
        <v>60</v>
      </c>
    </row>
    <row r="33" customFormat="false" ht="117.75" hidden="false" customHeight="true" outlineLevel="0" collapsed="false">
      <c r="A33" s="14" t="s">
        <v>191</v>
      </c>
      <c r="B33" s="15" t="n">
        <v>4</v>
      </c>
      <c r="C33" s="14" t="s">
        <v>187</v>
      </c>
      <c r="D33" s="9" t="s">
        <v>192</v>
      </c>
      <c r="E33" s="9" t="s">
        <v>193</v>
      </c>
      <c r="F33" s="9" t="s">
        <v>194</v>
      </c>
      <c r="G33" s="9" t="s">
        <v>102</v>
      </c>
      <c r="H33" s="9" t="s">
        <v>60</v>
      </c>
    </row>
    <row r="34" customFormat="false" ht="117.75" hidden="false" customHeight="true" outlineLevel="0" collapsed="false">
      <c r="A34" s="14" t="s">
        <v>195</v>
      </c>
      <c r="B34" s="15" t="n">
        <v>4</v>
      </c>
      <c r="C34" s="14" t="s">
        <v>187</v>
      </c>
      <c r="D34" s="9" t="s">
        <v>196</v>
      </c>
      <c r="E34" s="9" t="s">
        <v>197</v>
      </c>
      <c r="F34" s="9" t="s">
        <v>198</v>
      </c>
      <c r="G34" s="9" t="s">
        <v>74</v>
      </c>
      <c r="H34" s="9" t="s">
        <v>60</v>
      </c>
    </row>
    <row r="35" customFormat="false" ht="117.75" hidden="false" customHeight="true" outlineLevel="0" collapsed="false">
      <c r="A35" s="14" t="s">
        <v>199</v>
      </c>
      <c r="B35" s="15" t="n">
        <v>4</v>
      </c>
      <c r="C35" s="14" t="s">
        <v>187</v>
      </c>
      <c r="D35" s="9" t="s">
        <v>200</v>
      </c>
      <c r="E35" s="9" t="s">
        <v>201</v>
      </c>
      <c r="F35" s="9" t="s">
        <v>64</v>
      </c>
      <c r="G35" s="9" t="s">
        <v>65</v>
      </c>
      <c r="H35" s="9" t="s">
        <v>60</v>
      </c>
    </row>
    <row r="36" customFormat="false" ht="117.75" hidden="false" customHeight="true" outlineLevel="0" collapsed="false">
      <c r="A36" s="14" t="s">
        <v>202</v>
      </c>
      <c r="B36" s="15" t="n">
        <v>4</v>
      </c>
      <c r="C36" s="14" t="s">
        <v>187</v>
      </c>
      <c r="D36" s="9" t="s">
        <v>203</v>
      </c>
      <c r="E36" s="9" t="s">
        <v>204</v>
      </c>
      <c r="F36" s="9" t="s">
        <v>205</v>
      </c>
      <c r="G36" s="9" t="s">
        <v>93</v>
      </c>
      <c r="H36" s="9" t="s">
        <v>60</v>
      </c>
    </row>
    <row r="37" customFormat="false" ht="117.75" hidden="false" customHeight="true" outlineLevel="0" collapsed="false">
      <c r="A37" s="14" t="s">
        <v>206</v>
      </c>
      <c r="B37" s="15" t="n">
        <v>4</v>
      </c>
      <c r="C37" s="14" t="s">
        <v>187</v>
      </c>
      <c r="D37" s="9" t="s">
        <v>207</v>
      </c>
      <c r="E37" s="9" t="s">
        <v>208</v>
      </c>
      <c r="F37" s="9" t="s">
        <v>209</v>
      </c>
      <c r="G37" s="9" t="s">
        <v>84</v>
      </c>
      <c r="H37" s="9" t="s">
        <v>60</v>
      </c>
    </row>
    <row r="38" customFormat="false" ht="117.75" hidden="false" customHeight="true" outlineLevel="0" collapsed="false">
      <c r="A38" s="14" t="s">
        <v>210</v>
      </c>
      <c r="B38" s="15" t="n">
        <v>4</v>
      </c>
      <c r="C38" s="14" t="s">
        <v>187</v>
      </c>
      <c r="D38" s="9" t="s">
        <v>211</v>
      </c>
      <c r="E38" s="9" t="s">
        <v>212</v>
      </c>
      <c r="F38" s="9" t="s">
        <v>213</v>
      </c>
      <c r="G38" s="9" t="s">
        <v>65</v>
      </c>
      <c r="H38" s="9" t="s">
        <v>60</v>
      </c>
    </row>
    <row r="39" customFormat="false" ht="117.75" hidden="false" customHeight="true" outlineLevel="0" collapsed="false">
      <c r="A39" s="14" t="s">
        <v>214</v>
      </c>
      <c r="B39" s="15" t="n">
        <v>4</v>
      </c>
      <c r="C39" s="14" t="s">
        <v>187</v>
      </c>
      <c r="D39" s="9" t="s">
        <v>215</v>
      </c>
      <c r="E39" s="9" t="s">
        <v>216</v>
      </c>
      <c r="F39" s="9" t="s">
        <v>157</v>
      </c>
      <c r="G39" s="9" t="s">
        <v>79</v>
      </c>
      <c r="H39" s="9" t="s">
        <v>60</v>
      </c>
    </row>
    <row r="40" customFormat="false" ht="117.75" hidden="false" customHeight="true" outlineLevel="0" collapsed="false">
      <c r="A40" s="14" t="s">
        <v>217</v>
      </c>
      <c r="B40" s="15" t="n">
        <v>4</v>
      </c>
      <c r="C40" s="14" t="s">
        <v>187</v>
      </c>
      <c r="D40" s="9" t="s">
        <v>218</v>
      </c>
      <c r="E40" s="9" t="s">
        <v>219</v>
      </c>
      <c r="F40" s="9" t="s">
        <v>220</v>
      </c>
      <c r="G40" s="9" t="s">
        <v>84</v>
      </c>
      <c r="H40" s="9" t="s">
        <v>60</v>
      </c>
    </row>
    <row r="41" customFormat="false" ht="117.75" hidden="false" customHeight="true" outlineLevel="0" collapsed="false">
      <c r="A41" s="14" t="s">
        <v>221</v>
      </c>
      <c r="B41" s="15" t="n">
        <v>4</v>
      </c>
      <c r="C41" s="14" t="s">
        <v>187</v>
      </c>
      <c r="D41" s="9" t="s">
        <v>222</v>
      </c>
      <c r="E41" s="9" t="s">
        <v>223</v>
      </c>
      <c r="F41" s="9" t="s">
        <v>224</v>
      </c>
      <c r="G41" s="9" t="s">
        <v>65</v>
      </c>
      <c r="H41" s="9" t="s">
        <v>60</v>
      </c>
    </row>
    <row r="42" customFormat="false" ht="117.75" hidden="false" customHeight="true" outlineLevel="0" collapsed="false">
      <c r="A42" s="16" t="s">
        <v>225</v>
      </c>
      <c r="B42" s="17" t="n">
        <v>5</v>
      </c>
      <c r="C42" s="16" t="s">
        <v>226</v>
      </c>
      <c r="D42" s="9" t="s">
        <v>227</v>
      </c>
      <c r="E42" s="9" t="s">
        <v>228</v>
      </c>
      <c r="F42" s="9" t="s">
        <v>92</v>
      </c>
      <c r="G42" s="9" t="s">
        <v>93</v>
      </c>
      <c r="H42" s="9" t="s">
        <v>229</v>
      </c>
    </row>
    <row r="43" customFormat="false" ht="117.75" hidden="false" customHeight="true" outlineLevel="0" collapsed="false">
      <c r="A43" s="16" t="s">
        <v>230</v>
      </c>
      <c r="B43" s="17" t="n">
        <v>5</v>
      </c>
      <c r="C43" s="16" t="s">
        <v>226</v>
      </c>
      <c r="D43" s="9" t="s">
        <v>231</v>
      </c>
      <c r="E43" s="9" t="s">
        <v>232</v>
      </c>
      <c r="F43" s="9" t="s">
        <v>128</v>
      </c>
      <c r="G43" s="9" t="s">
        <v>74</v>
      </c>
      <c r="H43" s="9" t="s">
        <v>233</v>
      </c>
    </row>
    <row r="44" customFormat="false" ht="117.75" hidden="false" customHeight="true" outlineLevel="0" collapsed="false">
      <c r="A44" s="16" t="s">
        <v>234</v>
      </c>
      <c r="B44" s="17" t="n">
        <v>5</v>
      </c>
      <c r="C44" s="16" t="s">
        <v>226</v>
      </c>
      <c r="D44" s="9" t="s">
        <v>235</v>
      </c>
      <c r="E44" s="9" t="s">
        <v>236</v>
      </c>
      <c r="F44" s="9" t="s">
        <v>161</v>
      </c>
      <c r="G44" s="9" t="s">
        <v>59</v>
      </c>
      <c r="H44" s="9" t="s">
        <v>237</v>
      </c>
    </row>
    <row r="45" customFormat="false" ht="117.75" hidden="false" customHeight="true" outlineLevel="0" collapsed="false">
      <c r="A45" s="16" t="s">
        <v>238</v>
      </c>
      <c r="B45" s="17" t="n">
        <v>5</v>
      </c>
      <c r="C45" s="16" t="s">
        <v>226</v>
      </c>
      <c r="D45" s="9" t="s">
        <v>239</v>
      </c>
      <c r="E45" s="9" t="s">
        <v>240</v>
      </c>
      <c r="F45" s="9" t="s">
        <v>119</v>
      </c>
      <c r="G45" s="9" t="s">
        <v>84</v>
      </c>
      <c r="H45" s="9" t="s">
        <v>241</v>
      </c>
    </row>
    <row r="46" customFormat="false" ht="117.75" hidden="false" customHeight="true" outlineLevel="0" collapsed="false">
      <c r="A46" s="16" t="s">
        <v>242</v>
      </c>
      <c r="B46" s="17" t="n">
        <v>5</v>
      </c>
      <c r="C46" s="16" t="s">
        <v>226</v>
      </c>
      <c r="D46" s="9" t="s">
        <v>243</v>
      </c>
      <c r="E46" s="9" t="s">
        <v>244</v>
      </c>
      <c r="F46" s="9" t="s">
        <v>64</v>
      </c>
      <c r="G46" s="9" t="s">
        <v>65</v>
      </c>
      <c r="H46" s="9" t="s">
        <v>245</v>
      </c>
    </row>
    <row r="47" customFormat="false" ht="117.75" hidden="false" customHeight="true" outlineLevel="0" collapsed="false">
      <c r="A47" s="16" t="s">
        <v>246</v>
      </c>
      <c r="B47" s="17" t="n">
        <v>5</v>
      </c>
      <c r="C47" s="16" t="s">
        <v>226</v>
      </c>
      <c r="D47" s="9" t="s">
        <v>247</v>
      </c>
      <c r="E47" s="9" t="s">
        <v>248</v>
      </c>
      <c r="F47" s="9" t="s">
        <v>157</v>
      </c>
      <c r="G47" s="9" t="s">
        <v>79</v>
      </c>
      <c r="H47" s="9" t="s">
        <v>249</v>
      </c>
    </row>
    <row r="48" customFormat="false" ht="117.75" hidden="false" customHeight="true" outlineLevel="0" collapsed="false">
      <c r="A48" s="16" t="s">
        <v>250</v>
      </c>
      <c r="B48" s="17" t="n">
        <v>5</v>
      </c>
      <c r="C48" s="16" t="s">
        <v>226</v>
      </c>
      <c r="D48" s="9" t="s">
        <v>251</v>
      </c>
      <c r="E48" s="9" t="s">
        <v>252</v>
      </c>
      <c r="F48" s="9" t="s">
        <v>253</v>
      </c>
      <c r="G48" s="9" t="s">
        <v>65</v>
      </c>
      <c r="H48" s="9" t="s">
        <v>254</v>
      </c>
    </row>
    <row r="49" customFormat="false" ht="117.75" hidden="false" customHeight="true" outlineLevel="0" collapsed="false">
      <c r="A49" s="16" t="s">
        <v>255</v>
      </c>
      <c r="B49" s="17" t="n">
        <v>5</v>
      </c>
      <c r="C49" s="16" t="s">
        <v>226</v>
      </c>
      <c r="D49" s="9" t="s">
        <v>256</v>
      </c>
      <c r="E49" s="9" t="s">
        <v>257</v>
      </c>
      <c r="F49" s="9" t="s">
        <v>101</v>
      </c>
      <c r="G49" s="9" t="s">
        <v>102</v>
      </c>
      <c r="H49" s="9" t="s">
        <v>258</v>
      </c>
    </row>
    <row r="50" customFormat="false" ht="117.75" hidden="false" customHeight="true" outlineLevel="0" collapsed="false">
      <c r="A50" s="16" t="s">
        <v>259</v>
      </c>
      <c r="B50" s="17" t="n">
        <v>5</v>
      </c>
      <c r="C50" s="16" t="s">
        <v>226</v>
      </c>
      <c r="D50" s="9" t="s">
        <v>260</v>
      </c>
      <c r="E50" s="9" t="s">
        <v>261</v>
      </c>
      <c r="F50" s="9" t="s">
        <v>107</v>
      </c>
      <c r="G50" s="9" t="s">
        <v>93</v>
      </c>
      <c r="H50" s="9" t="s">
        <v>262</v>
      </c>
    </row>
    <row r="51" customFormat="false" ht="117.75" hidden="false" customHeight="true" outlineLevel="0" collapsed="false">
      <c r="A51" s="16" t="s">
        <v>263</v>
      </c>
      <c r="B51" s="17" t="n">
        <v>5</v>
      </c>
      <c r="C51" s="16" t="s">
        <v>226</v>
      </c>
      <c r="D51" s="9" t="s">
        <v>264</v>
      </c>
      <c r="E51" s="9" t="s">
        <v>265</v>
      </c>
      <c r="F51" s="9" t="s">
        <v>266</v>
      </c>
      <c r="G51" s="9" t="s">
        <v>267</v>
      </c>
      <c r="H51" s="9" t="s">
        <v>268</v>
      </c>
    </row>
  </sheetData>
  <autoFilter ref="A1:H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2"/>
    <col collapsed="false" customWidth="true" hidden="false" outlineLevel="0" max="3" min="3" style="0" width="40"/>
    <col collapsed="false" customWidth="true" hidden="false" outlineLevel="0" max="4" min="4" style="0" width="42"/>
    <col collapsed="false" customWidth="true" hidden="false" outlineLevel="0" max="5" min="5" style="0" width="24"/>
    <col collapsed="false" customWidth="true" hidden="false" outlineLevel="0" max="6" min="6" style="0" width="58"/>
  </cols>
  <sheetData>
    <row r="1" customFormat="false" ht="30" hidden="false" customHeight="true" outlineLevel="0" collapsed="false">
      <c r="A1" s="6" t="s">
        <v>269</v>
      </c>
      <c r="B1" s="6" t="s">
        <v>270</v>
      </c>
      <c r="C1" s="6" t="s">
        <v>271</v>
      </c>
      <c r="D1" s="6" t="s">
        <v>272</v>
      </c>
      <c r="E1" s="6" t="s">
        <v>273</v>
      </c>
      <c r="F1" s="6" t="s">
        <v>52</v>
      </c>
    </row>
    <row r="2" customFormat="false" ht="30" hidden="false" customHeight="true" outlineLevel="0" collapsed="false">
      <c r="A2" s="9" t="s">
        <v>274</v>
      </c>
      <c r="B2" s="9" t="s">
        <v>275</v>
      </c>
      <c r="C2" s="9" t="s">
        <v>276</v>
      </c>
      <c r="D2" s="9" t="s">
        <v>277</v>
      </c>
      <c r="E2" s="9" t="s">
        <v>278</v>
      </c>
      <c r="F2" s="9" t="s">
        <v>65</v>
      </c>
    </row>
    <row r="3" customFormat="false" ht="30" hidden="false" customHeight="true" outlineLevel="0" collapsed="false">
      <c r="A3" s="9" t="s">
        <v>279</v>
      </c>
      <c r="B3" s="9" t="s">
        <v>280</v>
      </c>
      <c r="C3" s="9" t="s">
        <v>281</v>
      </c>
      <c r="D3" s="9" t="s">
        <v>277</v>
      </c>
      <c r="E3" s="9" t="s">
        <v>282</v>
      </c>
      <c r="F3" s="9" t="s">
        <v>59</v>
      </c>
    </row>
    <row r="4" customFormat="false" ht="30" hidden="false" customHeight="true" outlineLevel="0" collapsed="false">
      <c r="A4" s="9" t="s">
        <v>283</v>
      </c>
      <c r="B4" s="9" t="s">
        <v>284</v>
      </c>
      <c r="C4" s="9" t="s">
        <v>285</v>
      </c>
      <c r="D4" s="9" t="s">
        <v>277</v>
      </c>
      <c r="E4" s="9" t="s">
        <v>278</v>
      </c>
      <c r="F4" s="9" t="s">
        <v>93</v>
      </c>
    </row>
    <row r="5" customFormat="false" ht="30" hidden="false" customHeight="true" outlineLevel="0" collapsed="false">
      <c r="A5" s="9" t="s">
        <v>286</v>
      </c>
      <c r="B5" s="9" t="s">
        <v>287</v>
      </c>
      <c r="C5" s="9" t="s">
        <v>288</v>
      </c>
      <c r="D5" s="9" t="s">
        <v>277</v>
      </c>
      <c r="E5" s="9" t="s">
        <v>278</v>
      </c>
      <c r="F5" s="9" t="s">
        <v>84</v>
      </c>
    </row>
    <row r="6" customFormat="false" ht="30" hidden="false" customHeight="true" outlineLevel="0" collapsed="false">
      <c r="A6" s="9" t="s">
        <v>289</v>
      </c>
      <c r="B6" s="9" t="s">
        <v>290</v>
      </c>
      <c r="C6" s="9" t="s">
        <v>291</v>
      </c>
      <c r="D6" s="9" t="s">
        <v>292</v>
      </c>
      <c r="E6" s="9" t="s">
        <v>278</v>
      </c>
      <c r="F6" s="9" t="s">
        <v>120</v>
      </c>
    </row>
    <row r="7" customFormat="false" ht="30" hidden="false" customHeight="true" outlineLevel="0" collapsed="false">
      <c r="A7" s="9" t="s">
        <v>293</v>
      </c>
      <c r="B7" s="9" t="s">
        <v>294</v>
      </c>
      <c r="C7" s="9" t="s">
        <v>295</v>
      </c>
      <c r="D7" s="9" t="s">
        <v>277</v>
      </c>
      <c r="E7" s="9" t="s">
        <v>296</v>
      </c>
      <c r="F7" s="9" t="s">
        <v>102</v>
      </c>
    </row>
    <row r="8" customFormat="false" ht="30" hidden="false" customHeight="true" outlineLevel="0" collapsed="false">
      <c r="A8" s="9" t="s">
        <v>297</v>
      </c>
      <c r="B8" s="9" t="s">
        <v>298</v>
      </c>
      <c r="C8" s="9" t="s">
        <v>295</v>
      </c>
      <c r="D8" s="9" t="s">
        <v>299</v>
      </c>
      <c r="E8" s="9" t="s">
        <v>282</v>
      </c>
      <c r="F8" s="9" t="s">
        <v>74</v>
      </c>
    </row>
    <row r="9" customFormat="false" ht="30" hidden="false" customHeight="true" outlineLevel="0" collapsed="false">
      <c r="A9" s="9" t="s">
        <v>300</v>
      </c>
      <c r="B9" s="9" t="s">
        <v>301</v>
      </c>
      <c r="C9" s="9" t="s">
        <v>295</v>
      </c>
      <c r="D9" s="9" t="s">
        <v>299</v>
      </c>
      <c r="E9" s="9" t="s">
        <v>278</v>
      </c>
      <c r="F9" s="9" t="s">
        <v>79</v>
      </c>
    </row>
    <row r="10" customFormat="false" ht="30" hidden="false" customHeight="true" outlineLevel="0" collapsed="false">
      <c r="A10" s="9" t="s">
        <v>302</v>
      </c>
      <c r="B10" s="9" t="s">
        <v>303</v>
      </c>
      <c r="C10" s="9" t="s">
        <v>295</v>
      </c>
      <c r="D10" s="9" t="s">
        <v>299</v>
      </c>
      <c r="E10" s="9" t="s">
        <v>278</v>
      </c>
      <c r="F10" s="9" t="s">
        <v>79</v>
      </c>
    </row>
    <row r="11" customFormat="false" ht="30" hidden="false" customHeight="true" outlineLevel="0" collapsed="false">
      <c r="A11" s="9" t="s">
        <v>304</v>
      </c>
      <c r="B11" s="9" t="s">
        <v>305</v>
      </c>
      <c r="C11" s="9" t="s">
        <v>306</v>
      </c>
      <c r="D11" s="9" t="s">
        <v>277</v>
      </c>
      <c r="E11" s="9" t="s">
        <v>307</v>
      </c>
      <c r="F11" s="9" t="s">
        <v>267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6"/>
    <col collapsed="false" customWidth="true" hidden="false" outlineLevel="0" max="3" min="3" style="0" width="24"/>
    <col collapsed="false" customWidth="true" hidden="false" outlineLevel="0" max="4" min="4" style="0" width="62"/>
    <col collapsed="false" customWidth="true" hidden="false" outlineLevel="0" max="5" min="5" style="0" width="92"/>
  </cols>
  <sheetData>
    <row r="1" customFormat="false" ht="30" hidden="false" customHeight="true" outlineLevel="0" collapsed="false">
      <c r="A1" s="6" t="s">
        <v>46</v>
      </c>
      <c r="B1" s="6" t="s">
        <v>47</v>
      </c>
      <c r="C1" s="6" t="s">
        <v>308</v>
      </c>
      <c r="D1" s="6" t="s">
        <v>309</v>
      </c>
      <c r="E1" s="6" t="s">
        <v>310</v>
      </c>
    </row>
    <row r="2" customFormat="false" ht="35.05" hidden="false" customHeight="false" outlineLevel="0" collapsed="false">
      <c r="A2" s="9" t="s">
        <v>54</v>
      </c>
      <c r="B2" s="9" t="n">
        <v>1</v>
      </c>
      <c r="C2" s="9" t="s">
        <v>311</v>
      </c>
      <c r="D2" s="9" t="s">
        <v>56</v>
      </c>
      <c r="E2" s="9"/>
    </row>
    <row r="3" customFormat="false" ht="35.05" hidden="false" customHeight="false" outlineLevel="0" collapsed="false">
      <c r="A3" s="9" t="s">
        <v>54</v>
      </c>
      <c r="B3" s="9" t="n">
        <v>1</v>
      </c>
      <c r="C3" s="9" t="s">
        <v>312</v>
      </c>
      <c r="D3" s="9" t="s">
        <v>56</v>
      </c>
      <c r="E3" s="9"/>
    </row>
    <row r="4" customFormat="false" ht="35.05" hidden="false" customHeight="false" outlineLevel="0" collapsed="false">
      <c r="A4" s="9" t="s">
        <v>54</v>
      </c>
      <c r="B4" s="9" t="n">
        <v>1</v>
      </c>
      <c r="C4" s="9" t="s">
        <v>313</v>
      </c>
      <c r="D4" s="9" t="s">
        <v>56</v>
      </c>
      <c r="E4" s="9"/>
    </row>
    <row r="5" customFormat="false" ht="35.05" hidden="false" customHeight="false" outlineLevel="0" collapsed="false">
      <c r="A5" s="9" t="s">
        <v>54</v>
      </c>
      <c r="B5" s="9" t="n">
        <v>1</v>
      </c>
      <c r="C5" s="9" t="s">
        <v>314</v>
      </c>
      <c r="D5" s="9" t="s">
        <v>56</v>
      </c>
      <c r="E5" s="9"/>
    </row>
    <row r="6" customFormat="false" ht="23.85" hidden="false" customHeight="false" outlineLevel="0" collapsed="false">
      <c r="A6" s="9" t="s">
        <v>61</v>
      </c>
      <c r="B6" s="9" t="n">
        <v>1</v>
      </c>
      <c r="C6" s="9" t="s">
        <v>311</v>
      </c>
      <c r="D6" s="9" t="s">
        <v>62</v>
      </c>
      <c r="E6" s="9"/>
    </row>
    <row r="7" customFormat="false" ht="23.85" hidden="false" customHeight="false" outlineLevel="0" collapsed="false">
      <c r="A7" s="9" t="s">
        <v>61</v>
      </c>
      <c r="B7" s="9" t="n">
        <v>1</v>
      </c>
      <c r="C7" s="9" t="s">
        <v>312</v>
      </c>
      <c r="D7" s="9" t="s">
        <v>62</v>
      </c>
      <c r="E7" s="9"/>
    </row>
    <row r="8" customFormat="false" ht="23.85" hidden="false" customHeight="false" outlineLevel="0" collapsed="false">
      <c r="A8" s="9" t="s">
        <v>61</v>
      </c>
      <c r="B8" s="9" t="n">
        <v>1</v>
      </c>
      <c r="C8" s="9" t="s">
        <v>313</v>
      </c>
      <c r="D8" s="9" t="s">
        <v>62</v>
      </c>
      <c r="E8" s="9"/>
    </row>
    <row r="9" customFormat="false" ht="23.85" hidden="false" customHeight="false" outlineLevel="0" collapsed="false">
      <c r="A9" s="9" t="s">
        <v>61</v>
      </c>
      <c r="B9" s="9" t="n">
        <v>1</v>
      </c>
      <c r="C9" s="9" t="s">
        <v>314</v>
      </c>
      <c r="D9" s="9" t="s">
        <v>62</v>
      </c>
      <c r="E9" s="9"/>
    </row>
    <row r="10" customFormat="false" ht="23.85" hidden="false" customHeight="false" outlineLevel="0" collapsed="false">
      <c r="A10" s="9" t="s">
        <v>66</v>
      </c>
      <c r="B10" s="9" t="n">
        <v>1</v>
      </c>
      <c r="C10" s="9" t="s">
        <v>311</v>
      </c>
      <c r="D10" s="9" t="s">
        <v>67</v>
      </c>
      <c r="E10" s="9"/>
    </row>
    <row r="11" customFormat="false" ht="23.85" hidden="false" customHeight="false" outlineLevel="0" collapsed="false">
      <c r="A11" s="9" t="s">
        <v>66</v>
      </c>
      <c r="B11" s="9" t="n">
        <v>1</v>
      </c>
      <c r="C11" s="9" t="s">
        <v>312</v>
      </c>
      <c r="D11" s="9" t="s">
        <v>67</v>
      </c>
      <c r="E11" s="9"/>
    </row>
    <row r="12" customFormat="false" ht="23.85" hidden="false" customHeight="false" outlineLevel="0" collapsed="false">
      <c r="A12" s="9" t="s">
        <v>66</v>
      </c>
      <c r="B12" s="9" t="n">
        <v>1</v>
      </c>
      <c r="C12" s="9" t="s">
        <v>313</v>
      </c>
      <c r="D12" s="9" t="s">
        <v>67</v>
      </c>
      <c r="E12" s="9"/>
    </row>
    <row r="13" customFormat="false" ht="23.85" hidden="false" customHeight="false" outlineLevel="0" collapsed="false">
      <c r="A13" s="9" t="s">
        <v>66</v>
      </c>
      <c r="B13" s="9" t="n">
        <v>1</v>
      </c>
      <c r="C13" s="9" t="s">
        <v>314</v>
      </c>
      <c r="D13" s="9" t="s">
        <v>67</v>
      </c>
      <c r="E13" s="9"/>
    </row>
    <row r="14" customFormat="false" ht="35.05" hidden="false" customHeight="false" outlineLevel="0" collapsed="false">
      <c r="A14" s="9" t="s">
        <v>70</v>
      </c>
      <c r="B14" s="9" t="n">
        <v>1</v>
      </c>
      <c r="C14" s="9" t="s">
        <v>311</v>
      </c>
      <c r="D14" s="9" t="s">
        <v>71</v>
      </c>
      <c r="E14" s="9"/>
    </row>
    <row r="15" customFormat="false" ht="35.05" hidden="false" customHeight="false" outlineLevel="0" collapsed="false">
      <c r="A15" s="9" t="s">
        <v>70</v>
      </c>
      <c r="B15" s="9" t="n">
        <v>1</v>
      </c>
      <c r="C15" s="9" t="s">
        <v>312</v>
      </c>
      <c r="D15" s="9" t="s">
        <v>71</v>
      </c>
      <c r="E15" s="9"/>
    </row>
    <row r="16" customFormat="false" ht="35.05" hidden="false" customHeight="false" outlineLevel="0" collapsed="false">
      <c r="A16" s="9" t="s">
        <v>70</v>
      </c>
      <c r="B16" s="9" t="n">
        <v>1</v>
      </c>
      <c r="C16" s="9" t="s">
        <v>313</v>
      </c>
      <c r="D16" s="9" t="s">
        <v>71</v>
      </c>
      <c r="E16" s="9"/>
    </row>
    <row r="17" customFormat="false" ht="35.05" hidden="false" customHeight="false" outlineLevel="0" collapsed="false">
      <c r="A17" s="9" t="s">
        <v>70</v>
      </c>
      <c r="B17" s="9" t="n">
        <v>1</v>
      </c>
      <c r="C17" s="9" t="s">
        <v>314</v>
      </c>
      <c r="D17" s="9" t="s">
        <v>71</v>
      </c>
      <c r="E17" s="9"/>
    </row>
    <row r="18" customFormat="false" ht="23.85" hidden="false" customHeight="false" outlineLevel="0" collapsed="false">
      <c r="A18" s="9" t="s">
        <v>75</v>
      </c>
      <c r="B18" s="9" t="n">
        <v>1</v>
      </c>
      <c r="C18" s="9" t="s">
        <v>311</v>
      </c>
      <c r="D18" s="9" t="s">
        <v>76</v>
      </c>
      <c r="E18" s="9"/>
    </row>
    <row r="19" customFormat="false" ht="23.85" hidden="false" customHeight="false" outlineLevel="0" collapsed="false">
      <c r="A19" s="9" t="s">
        <v>75</v>
      </c>
      <c r="B19" s="9" t="n">
        <v>1</v>
      </c>
      <c r="C19" s="9" t="s">
        <v>312</v>
      </c>
      <c r="D19" s="9" t="s">
        <v>76</v>
      </c>
      <c r="E19" s="9"/>
    </row>
    <row r="20" customFormat="false" ht="23.85" hidden="false" customHeight="false" outlineLevel="0" collapsed="false">
      <c r="A20" s="9" t="s">
        <v>75</v>
      </c>
      <c r="B20" s="9" t="n">
        <v>1</v>
      </c>
      <c r="C20" s="9" t="s">
        <v>313</v>
      </c>
      <c r="D20" s="9" t="s">
        <v>76</v>
      </c>
      <c r="E20" s="9"/>
    </row>
    <row r="21" customFormat="false" ht="23.85" hidden="false" customHeight="false" outlineLevel="0" collapsed="false">
      <c r="A21" s="9" t="s">
        <v>75</v>
      </c>
      <c r="B21" s="9" t="n">
        <v>1</v>
      </c>
      <c r="C21" s="9" t="s">
        <v>314</v>
      </c>
      <c r="D21" s="9" t="s">
        <v>76</v>
      </c>
      <c r="E21" s="9"/>
    </row>
    <row r="22" customFormat="false" ht="23.85" hidden="false" customHeight="false" outlineLevel="0" collapsed="false">
      <c r="A22" s="9" t="s">
        <v>80</v>
      </c>
      <c r="B22" s="9" t="n">
        <v>1</v>
      </c>
      <c r="C22" s="9" t="s">
        <v>311</v>
      </c>
      <c r="D22" s="9" t="s">
        <v>81</v>
      </c>
      <c r="E22" s="9"/>
    </row>
    <row r="23" customFormat="false" ht="23.85" hidden="false" customHeight="false" outlineLevel="0" collapsed="false">
      <c r="A23" s="9" t="s">
        <v>80</v>
      </c>
      <c r="B23" s="9" t="n">
        <v>1</v>
      </c>
      <c r="C23" s="9" t="s">
        <v>312</v>
      </c>
      <c r="D23" s="9" t="s">
        <v>81</v>
      </c>
      <c r="E23" s="9"/>
    </row>
    <row r="24" customFormat="false" ht="23.85" hidden="false" customHeight="false" outlineLevel="0" collapsed="false">
      <c r="A24" s="9" t="s">
        <v>80</v>
      </c>
      <c r="B24" s="9" t="n">
        <v>1</v>
      </c>
      <c r="C24" s="9" t="s">
        <v>313</v>
      </c>
      <c r="D24" s="9" t="s">
        <v>81</v>
      </c>
      <c r="E24" s="9"/>
    </row>
    <row r="25" customFormat="false" ht="23.85" hidden="false" customHeight="false" outlineLevel="0" collapsed="false">
      <c r="A25" s="9" t="s">
        <v>80</v>
      </c>
      <c r="B25" s="9" t="n">
        <v>1</v>
      </c>
      <c r="C25" s="9" t="s">
        <v>314</v>
      </c>
      <c r="D25" s="9" t="s">
        <v>81</v>
      </c>
      <c r="E25" s="9"/>
    </row>
    <row r="26" customFormat="false" ht="23.85" hidden="false" customHeight="false" outlineLevel="0" collapsed="false">
      <c r="A26" s="9" t="s">
        <v>85</v>
      </c>
      <c r="B26" s="9" t="n">
        <v>1</v>
      </c>
      <c r="C26" s="9" t="s">
        <v>311</v>
      </c>
      <c r="D26" s="9" t="s">
        <v>86</v>
      </c>
      <c r="E26" s="9"/>
    </row>
    <row r="27" customFormat="false" ht="23.85" hidden="false" customHeight="false" outlineLevel="0" collapsed="false">
      <c r="A27" s="9" t="s">
        <v>85</v>
      </c>
      <c r="B27" s="9" t="n">
        <v>1</v>
      </c>
      <c r="C27" s="9" t="s">
        <v>312</v>
      </c>
      <c r="D27" s="9" t="s">
        <v>86</v>
      </c>
      <c r="E27" s="9"/>
    </row>
    <row r="28" customFormat="false" ht="23.85" hidden="false" customHeight="false" outlineLevel="0" collapsed="false">
      <c r="A28" s="9" t="s">
        <v>85</v>
      </c>
      <c r="B28" s="9" t="n">
        <v>1</v>
      </c>
      <c r="C28" s="9" t="s">
        <v>313</v>
      </c>
      <c r="D28" s="9" t="s">
        <v>86</v>
      </c>
      <c r="E28" s="9"/>
    </row>
    <row r="29" customFormat="false" ht="23.85" hidden="false" customHeight="false" outlineLevel="0" collapsed="false">
      <c r="A29" s="9" t="s">
        <v>85</v>
      </c>
      <c r="B29" s="9" t="n">
        <v>1</v>
      </c>
      <c r="C29" s="9" t="s">
        <v>314</v>
      </c>
      <c r="D29" s="9" t="s">
        <v>86</v>
      </c>
      <c r="E29" s="9"/>
    </row>
    <row r="30" customFormat="false" ht="23.85" hidden="false" customHeight="false" outlineLevel="0" collapsed="false">
      <c r="A30" s="9" t="s">
        <v>89</v>
      </c>
      <c r="B30" s="9" t="n">
        <v>1</v>
      </c>
      <c r="C30" s="9" t="s">
        <v>311</v>
      </c>
      <c r="D30" s="9" t="s">
        <v>90</v>
      </c>
      <c r="E30" s="9"/>
    </row>
    <row r="31" customFormat="false" ht="23.85" hidden="false" customHeight="false" outlineLevel="0" collapsed="false">
      <c r="A31" s="9" t="s">
        <v>89</v>
      </c>
      <c r="B31" s="9" t="n">
        <v>1</v>
      </c>
      <c r="C31" s="9" t="s">
        <v>312</v>
      </c>
      <c r="D31" s="9" t="s">
        <v>90</v>
      </c>
      <c r="E31" s="9"/>
    </row>
    <row r="32" customFormat="false" ht="23.85" hidden="false" customHeight="false" outlineLevel="0" collapsed="false">
      <c r="A32" s="9" t="s">
        <v>89</v>
      </c>
      <c r="B32" s="9" t="n">
        <v>1</v>
      </c>
      <c r="C32" s="9" t="s">
        <v>313</v>
      </c>
      <c r="D32" s="9" t="s">
        <v>90</v>
      </c>
      <c r="E32" s="9"/>
    </row>
    <row r="33" customFormat="false" ht="23.85" hidden="false" customHeight="false" outlineLevel="0" collapsed="false">
      <c r="A33" s="9" t="s">
        <v>89</v>
      </c>
      <c r="B33" s="9" t="n">
        <v>1</v>
      </c>
      <c r="C33" s="9" t="s">
        <v>314</v>
      </c>
      <c r="D33" s="9" t="s">
        <v>90</v>
      </c>
      <c r="E33" s="9"/>
    </row>
    <row r="34" customFormat="false" ht="35.05" hidden="false" customHeight="false" outlineLevel="0" collapsed="false">
      <c r="A34" s="9" t="s">
        <v>94</v>
      </c>
      <c r="B34" s="9" t="n">
        <v>1</v>
      </c>
      <c r="C34" s="9" t="s">
        <v>311</v>
      </c>
      <c r="D34" s="9" t="s">
        <v>95</v>
      </c>
      <c r="E34" s="9"/>
    </row>
    <row r="35" customFormat="false" ht="35.05" hidden="false" customHeight="false" outlineLevel="0" collapsed="false">
      <c r="A35" s="9" t="s">
        <v>94</v>
      </c>
      <c r="B35" s="9" t="n">
        <v>1</v>
      </c>
      <c r="C35" s="9" t="s">
        <v>312</v>
      </c>
      <c r="D35" s="9" t="s">
        <v>95</v>
      </c>
      <c r="E35" s="9"/>
    </row>
    <row r="36" customFormat="false" ht="35.05" hidden="false" customHeight="false" outlineLevel="0" collapsed="false">
      <c r="A36" s="9" t="s">
        <v>94</v>
      </c>
      <c r="B36" s="9" t="n">
        <v>1</v>
      </c>
      <c r="C36" s="9" t="s">
        <v>313</v>
      </c>
      <c r="D36" s="9" t="s">
        <v>95</v>
      </c>
      <c r="E36" s="9"/>
    </row>
    <row r="37" customFormat="false" ht="35.05" hidden="false" customHeight="false" outlineLevel="0" collapsed="false">
      <c r="A37" s="9" t="s">
        <v>94</v>
      </c>
      <c r="B37" s="9" t="n">
        <v>1</v>
      </c>
      <c r="C37" s="9" t="s">
        <v>314</v>
      </c>
      <c r="D37" s="9" t="s">
        <v>95</v>
      </c>
      <c r="E37" s="9"/>
    </row>
    <row r="38" customFormat="false" ht="23.85" hidden="false" customHeight="false" outlineLevel="0" collapsed="false">
      <c r="A38" s="9" t="s">
        <v>98</v>
      </c>
      <c r="B38" s="9" t="n">
        <v>1</v>
      </c>
      <c r="C38" s="9" t="s">
        <v>311</v>
      </c>
      <c r="D38" s="9" t="s">
        <v>99</v>
      </c>
      <c r="E38" s="9"/>
    </row>
    <row r="39" customFormat="false" ht="23.85" hidden="false" customHeight="false" outlineLevel="0" collapsed="false">
      <c r="A39" s="9" t="s">
        <v>98</v>
      </c>
      <c r="B39" s="9" t="n">
        <v>1</v>
      </c>
      <c r="C39" s="9" t="s">
        <v>312</v>
      </c>
      <c r="D39" s="9" t="s">
        <v>99</v>
      </c>
      <c r="E39" s="9"/>
    </row>
    <row r="40" customFormat="false" ht="23.85" hidden="false" customHeight="false" outlineLevel="0" collapsed="false">
      <c r="A40" s="9" t="s">
        <v>98</v>
      </c>
      <c r="B40" s="9" t="n">
        <v>1</v>
      </c>
      <c r="C40" s="9" t="s">
        <v>313</v>
      </c>
      <c r="D40" s="9" t="s">
        <v>99</v>
      </c>
      <c r="E40" s="9"/>
    </row>
    <row r="41" customFormat="false" ht="23.85" hidden="false" customHeight="false" outlineLevel="0" collapsed="false">
      <c r="A41" s="9" t="s">
        <v>98</v>
      </c>
      <c r="B41" s="9" t="n">
        <v>1</v>
      </c>
      <c r="C41" s="9" t="s">
        <v>314</v>
      </c>
      <c r="D41" s="9" t="s">
        <v>99</v>
      </c>
      <c r="E41" s="9"/>
    </row>
    <row r="42" customFormat="false" ht="35.05" hidden="false" customHeight="false" outlineLevel="0" collapsed="false">
      <c r="A42" s="9" t="s">
        <v>103</v>
      </c>
      <c r="B42" s="9" t="n">
        <v>2</v>
      </c>
      <c r="C42" s="9" t="s">
        <v>311</v>
      </c>
      <c r="D42" s="9" t="s">
        <v>105</v>
      </c>
      <c r="E42" s="9"/>
    </row>
    <row r="43" customFormat="false" ht="35.05" hidden="false" customHeight="false" outlineLevel="0" collapsed="false">
      <c r="A43" s="9" t="s">
        <v>103</v>
      </c>
      <c r="B43" s="9" t="n">
        <v>2</v>
      </c>
      <c r="C43" s="9" t="s">
        <v>312</v>
      </c>
      <c r="D43" s="9" t="s">
        <v>105</v>
      </c>
      <c r="E43" s="9"/>
    </row>
    <row r="44" customFormat="false" ht="35.05" hidden="false" customHeight="false" outlineLevel="0" collapsed="false">
      <c r="A44" s="9" t="s">
        <v>103</v>
      </c>
      <c r="B44" s="9" t="n">
        <v>2</v>
      </c>
      <c r="C44" s="9" t="s">
        <v>313</v>
      </c>
      <c r="D44" s="9" t="s">
        <v>105</v>
      </c>
      <c r="E44" s="9"/>
    </row>
    <row r="45" customFormat="false" ht="35.05" hidden="false" customHeight="false" outlineLevel="0" collapsed="false">
      <c r="A45" s="9" t="s">
        <v>103</v>
      </c>
      <c r="B45" s="9" t="n">
        <v>2</v>
      </c>
      <c r="C45" s="9" t="s">
        <v>314</v>
      </c>
      <c r="D45" s="9" t="s">
        <v>105</v>
      </c>
      <c r="E45" s="9"/>
    </row>
    <row r="46" customFormat="false" ht="23.85" hidden="false" customHeight="false" outlineLevel="0" collapsed="false">
      <c r="A46" s="9" t="s">
        <v>108</v>
      </c>
      <c r="B46" s="9" t="n">
        <v>2</v>
      </c>
      <c r="C46" s="9" t="s">
        <v>311</v>
      </c>
      <c r="D46" s="9" t="s">
        <v>109</v>
      </c>
      <c r="E46" s="9"/>
    </row>
    <row r="47" customFormat="false" ht="23.85" hidden="false" customHeight="false" outlineLevel="0" collapsed="false">
      <c r="A47" s="9" t="s">
        <v>108</v>
      </c>
      <c r="B47" s="9" t="n">
        <v>2</v>
      </c>
      <c r="C47" s="9" t="s">
        <v>312</v>
      </c>
      <c r="D47" s="9" t="s">
        <v>109</v>
      </c>
      <c r="E47" s="9"/>
    </row>
    <row r="48" customFormat="false" ht="23.85" hidden="false" customHeight="false" outlineLevel="0" collapsed="false">
      <c r="A48" s="9" t="s">
        <v>108</v>
      </c>
      <c r="B48" s="9" t="n">
        <v>2</v>
      </c>
      <c r="C48" s="9" t="s">
        <v>313</v>
      </c>
      <c r="D48" s="9" t="s">
        <v>109</v>
      </c>
      <c r="E48" s="9"/>
    </row>
    <row r="49" customFormat="false" ht="23.85" hidden="false" customHeight="false" outlineLevel="0" collapsed="false">
      <c r="A49" s="9" t="s">
        <v>108</v>
      </c>
      <c r="B49" s="9" t="n">
        <v>2</v>
      </c>
      <c r="C49" s="9" t="s">
        <v>314</v>
      </c>
      <c r="D49" s="9" t="s">
        <v>109</v>
      </c>
      <c r="E49" s="9"/>
    </row>
    <row r="50" customFormat="false" ht="23.85" hidden="false" customHeight="false" outlineLevel="0" collapsed="false">
      <c r="A50" s="9" t="s">
        <v>112</v>
      </c>
      <c r="B50" s="9" t="n">
        <v>2</v>
      </c>
      <c r="C50" s="9" t="s">
        <v>311</v>
      </c>
      <c r="D50" s="9" t="s">
        <v>113</v>
      </c>
      <c r="E50" s="9"/>
    </row>
    <row r="51" customFormat="false" ht="23.85" hidden="false" customHeight="false" outlineLevel="0" collapsed="false">
      <c r="A51" s="9" t="s">
        <v>112</v>
      </c>
      <c r="B51" s="9" t="n">
        <v>2</v>
      </c>
      <c r="C51" s="9" t="s">
        <v>312</v>
      </c>
      <c r="D51" s="9" t="s">
        <v>113</v>
      </c>
      <c r="E51" s="9"/>
    </row>
    <row r="52" customFormat="false" ht="23.85" hidden="false" customHeight="false" outlineLevel="0" collapsed="false">
      <c r="A52" s="9" t="s">
        <v>112</v>
      </c>
      <c r="B52" s="9" t="n">
        <v>2</v>
      </c>
      <c r="C52" s="9" t="s">
        <v>313</v>
      </c>
      <c r="D52" s="9" t="s">
        <v>113</v>
      </c>
      <c r="E52" s="9"/>
    </row>
    <row r="53" customFormat="false" ht="23.85" hidden="false" customHeight="false" outlineLevel="0" collapsed="false">
      <c r="A53" s="9" t="s">
        <v>112</v>
      </c>
      <c r="B53" s="9" t="n">
        <v>2</v>
      </c>
      <c r="C53" s="9" t="s">
        <v>314</v>
      </c>
      <c r="D53" s="9" t="s">
        <v>113</v>
      </c>
      <c r="E53" s="9"/>
    </row>
    <row r="54" customFormat="false" ht="35.05" hidden="false" customHeight="false" outlineLevel="0" collapsed="false">
      <c r="A54" s="9" t="s">
        <v>116</v>
      </c>
      <c r="B54" s="9" t="n">
        <v>2</v>
      </c>
      <c r="C54" s="9" t="s">
        <v>311</v>
      </c>
      <c r="D54" s="9" t="s">
        <v>117</v>
      </c>
      <c r="E54" s="9"/>
    </row>
    <row r="55" customFormat="false" ht="35.05" hidden="false" customHeight="false" outlineLevel="0" collapsed="false">
      <c r="A55" s="9" t="s">
        <v>116</v>
      </c>
      <c r="B55" s="9" t="n">
        <v>2</v>
      </c>
      <c r="C55" s="9" t="s">
        <v>312</v>
      </c>
      <c r="D55" s="9" t="s">
        <v>117</v>
      </c>
      <c r="E55" s="9"/>
    </row>
    <row r="56" customFormat="false" ht="35.05" hidden="false" customHeight="false" outlineLevel="0" collapsed="false">
      <c r="A56" s="9" t="s">
        <v>116</v>
      </c>
      <c r="B56" s="9" t="n">
        <v>2</v>
      </c>
      <c r="C56" s="9" t="s">
        <v>313</v>
      </c>
      <c r="D56" s="9" t="s">
        <v>117</v>
      </c>
      <c r="E56" s="9"/>
    </row>
    <row r="57" customFormat="false" ht="35.05" hidden="false" customHeight="false" outlineLevel="0" collapsed="false">
      <c r="A57" s="9" t="s">
        <v>116</v>
      </c>
      <c r="B57" s="9" t="n">
        <v>2</v>
      </c>
      <c r="C57" s="9" t="s">
        <v>314</v>
      </c>
      <c r="D57" s="9" t="s">
        <v>117</v>
      </c>
      <c r="E57" s="9"/>
    </row>
    <row r="58" customFormat="false" ht="23.85" hidden="false" customHeight="false" outlineLevel="0" collapsed="false">
      <c r="A58" s="9" t="s">
        <v>121</v>
      </c>
      <c r="B58" s="9" t="n">
        <v>2</v>
      </c>
      <c r="C58" s="9" t="s">
        <v>311</v>
      </c>
      <c r="D58" s="9" t="s">
        <v>122</v>
      </c>
      <c r="E58" s="9"/>
    </row>
    <row r="59" customFormat="false" ht="23.85" hidden="false" customHeight="false" outlineLevel="0" collapsed="false">
      <c r="A59" s="9" t="s">
        <v>121</v>
      </c>
      <c r="B59" s="9" t="n">
        <v>2</v>
      </c>
      <c r="C59" s="9" t="s">
        <v>312</v>
      </c>
      <c r="D59" s="9" t="s">
        <v>122</v>
      </c>
      <c r="E59" s="9"/>
    </row>
    <row r="60" customFormat="false" ht="23.85" hidden="false" customHeight="false" outlineLevel="0" collapsed="false">
      <c r="A60" s="9" t="s">
        <v>121</v>
      </c>
      <c r="B60" s="9" t="n">
        <v>2</v>
      </c>
      <c r="C60" s="9" t="s">
        <v>313</v>
      </c>
      <c r="D60" s="9" t="s">
        <v>122</v>
      </c>
      <c r="E60" s="9"/>
    </row>
    <row r="61" customFormat="false" ht="23.85" hidden="false" customHeight="false" outlineLevel="0" collapsed="false">
      <c r="A61" s="9" t="s">
        <v>121</v>
      </c>
      <c r="B61" s="9" t="n">
        <v>2</v>
      </c>
      <c r="C61" s="9" t="s">
        <v>314</v>
      </c>
      <c r="D61" s="9" t="s">
        <v>122</v>
      </c>
      <c r="E61" s="9"/>
    </row>
    <row r="62" customFormat="false" ht="23.85" hidden="false" customHeight="false" outlineLevel="0" collapsed="false">
      <c r="A62" s="9" t="s">
        <v>125</v>
      </c>
      <c r="B62" s="9" t="n">
        <v>2</v>
      </c>
      <c r="C62" s="9" t="s">
        <v>311</v>
      </c>
      <c r="D62" s="9" t="s">
        <v>126</v>
      </c>
      <c r="E62" s="9"/>
    </row>
    <row r="63" customFormat="false" ht="23.85" hidden="false" customHeight="false" outlineLevel="0" collapsed="false">
      <c r="A63" s="9" t="s">
        <v>125</v>
      </c>
      <c r="B63" s="9" t="n">
        <v>2</v>
      </c>
      <c r="C63" s="9" t="s">
        <v>312</v>
      </c>
      <c r="D63" s="9" t="s">
        <v>126</v>
      </c>
      <c r="E63" s="9"/>
    </row>
    <row r="64" customFormat="false" ht="23.85" hidden="false" customHeight="false" outlineLevel="0" collapsed="false">
      <c r="A64" s="9" t="s">
        <v>125</v>
      </c>
      <c r="B64" s="9" t="n">
        <v>2</v>
      </c>
      <c r="C64" s="9" t="s">
        <v>313</v>
      </c>
      <c r="D64" s="9" t="s">
        <v>126</v>
      </c>
      <c r="E64" s="9"/>
    </row>
    <row r="65" customFormat="false" ht="23.85" hidden="false" customHeight="false" outlineLevel="0" collapsed="false">
      <c r="A65" s="9" t="s">
        <v>125</v>
      </c>
      <c r="B65" s="9" t="n">
        <v>2</v>
      </c>
      <c r="C65" s="9" t="s">
        <v>314</v>
      </c>
      <c r="D65" s="9" t="s">
        <v>126</v>
      </c>
      <c r="E65" s="9"/>
    </row>
    <row r="66" customFormat="false" ht="23.85" hidden="false" customHeight="false" outlineLevel="0" collapsed="false">
      <c r="A66" s="9" t="s">
        <v>129</v>
      </c>
      <c r="B66" s="9" t="n">
        <v>2</v>
      </c>
      <c r="C66" s="9" t="s">
        <v>311</v>
      </c>
      <c r="D66" s="9" t="s">
        <v>130</v>
      </c>
      <c r="E66" s="9"/>
    </row>
    <row r="67" customFormat="false" ht="23.85" hidden="false" customHeight="false" outlineLevel="0" collapsed="false">
      <c r="A67" s="9" t="s">
        <v>129</v>
      </c>
      <c r="B67" s="9" t="n">
        <v>2</v>
      </c>
      <c r="C67" s="9" t="s">
        <v>312</v>
      </c>
      <c r="D67" s="9" t="s">
        <v>130</v>
      </c>
      <c r="E67" s="9"/>
    </row>
    <row r="68" customFormat="false" ht="23.85" hidden="false" customHeight="false" outlineLevel="0" collapsed="false">
      <c r="A68" s="9" t="s">
        <v>129</v>
      </c>
      <c r="B68" s="9" t="n">
        <v>2</v>
      </c>
      <c r="C68" s="9" t="s">
        <v>313</v>
      </c>
      <c r="D68" s="9" t="s">
        <v>130</v>
      </c>
      <c r="E68" s="9"/>
    </row>
    <row r="69" customFormat="false" ht="23.85" hidden="false" customHeight="false" outlineLevel="0" collapsed="false">
      <c r="A69" s="9" t="s">
        <v>129</v>
      </c>
      <c r="B69" s="9" t="n">
        <v>2</v>
      </c>
      <c r="C69" s="9" t="s">
        <v>314</v>
      </c>
      <c r="D69" s="9" t="s">
        <v>130</v>
      </c>
      <c r="E69" s="9"/>
    </row>
    <row r="70" customFormat="false" ht="23.85" hidden="false" customHeight="false" outlineLevel="0" collapsed="false">
      <c r="A70" s="9" t="s">
        <v>133</v>
      </c>
      <c r="B70" s="9" t="n">
        <v>2</v>
      </c>
      <c r="C70" s="9" t="s">
        <v>311</v>
      </c>
      <c r="D70" s="9" t="s">
        <v>134</v>
      </c>
      <c r="E70" s="9"/>
    </row>
    <row r="71" customFormat="false" ht="23.85" hidden="false" customHeight="false" outlineLevel="0" collapsed="false">
      <c r="A71" s="9" t="s">
        <v>133</v>
      </c>
      <c r="B71" s="9" t="n">
        <v>2</v>
      </c>
      <c r="C71" s="9" t="s">
        <v>312</v>
      </c>
      <c r="D71" s="9" t="s">
        <v>134</v>
      </c>
      <c r="E71" s="9"/>
    </row>
    <row r="72" customFormat="false" ht="23.85" hidden="false" customHeight="false" outlineLevel="0" collapsed="false">
      <c r="A72" s="9" t="s">
        <v>133</v>
      </c>
      <c r="B72" s="9" t="n">
        <v>2</v>
      </c>
      <c r="C72" s="9" t="s">
        <v>313</v>
      </c>
      <c r="D72" s="9" t="s">
        <v>134</v>
      </c>
      <c r="E72" s="9"/>
    </row>
    <row r="73" customFormat="false" ht="23.85" hidden="false" customHeight="false" outlineLevel="0" collapsed="false">
      <c r="A73" s="9" t="s">
        <v>133</v>
      </c>
      <c r="B73" s="9" t="n">
        <v>2</v>
      </c>
      <c r="C73" s="9" t="s">
        <v>314</v>
      </c>
      <c r="D73" s="9" t="s">
        <v>134</v>
      </c>
      <c r="E73" s="9"/>
    </row>
    <row r="74" customFormat="false" ht="23.85" hidden="false" customHeight="false" outlineLevel="0" collapsed="false">
      <c r="A74" s="9" t="s">
        <v>137</v>
      </c>
      <c r="B74" s="9" t="n">
        <v>2</v>
      </c>
      <c r="C74" s="9" t="s">
        <v>311</v>
      </c>
      <c r="D74" s="9" t="s">
        <v>138</v>
      </c>
      <c r="E74" s="9"/>
    </row>
    <row r="75" customFormat="false" ht="23.85" hidden="false" customHeight="false" outlineLevel="0" collapsed="false">
      <c r="A75" s="9" t="s">
        <v>137</v>
      </c>
      <c r="B75" s="9" t="n">
        <v>2</v>
      </c>
      <c r="C75" s="9" t="s">
        <v>312</v>
      </c>
      <c r="D75" s="9" t="s">
        <v>138</v>
      </c>
      <c r="E75" s="9"/>
    </row>
    <row r="76" customFormat="false" ht="23.85" hidden="false" customHeight="false" outlineLevel="0" collapsed="false">
      <c r="A76" s="9" t="s">
        <v>137</v>
      </c>
      <c r="B76" s="9" t="n">
        <v>2</v>
      </c>
      <c r="C76" s="9" t="s">
        <v>313</v>
      </c>
      <c r="D76" s="9" t="s">
        <v>138</v>
      </c>
      <c r="E76" s="9"/>
    </row>
    <row r="77" customFormat="false" ht="23.85" hidden="false" customHeight="false" outlineLevel="0" collapsed="false">
      <c r="A77" s="9" t="s">
        <v>137</v>
      </c>
      <c r="B77" s="9" t="n">
        <v>2</v>
      </c>
      <c r="C77" s="9" t="s">
        <v>314</v>
      </c>
      <c r="D77" s="9" t="s">
        <v>138</v>
      </c>
      <c r="E77" s="9"/>
    </row>
    <row r="78" customFormat="false" ht="35.05" hidden="false" customHeight="false" outlineLevel="0" collapsed="false">
      <c r="A78" s="9" t="s">
        <v>141</v>
      </c>
      <c r="B78" s="9" t="n">
        <v>2</v>
      </c>
      <c r="C78" s="9" t="s">
        <v>311</v>
      </c>
      <c r="D78" s="9" t="s">
        <v>142</v>
      </c>
      <c r="E78" s="9"/>
    </row>
    <row r="79" customFormat="false" ht="35.05" hidden="false" customHeight="false" outlineLevel="0" collapsed="false">
      <c r="A79" s="9" t="s">
        <v>141</v>
      </c>
      <c r="B79" s="9" t="n">
        <v>2</v>
      </c>
      <c r="C79" s="9" t="s">
        <v>312</v>
      </c>
      <c r="D79" s="9" t="s">
        <v>142</v>
      </c>
      <c r="E79" s="9"/>
    </row>
    <row r="80" customFormat="false" ht="35.05" hidden="false" customHeight="false" outlineLevel="0" collapsed="false">
      <c r="A80" s="9" t="s">
        <v>141</v>
      </c>
      <c r="B80" s="9" t="n">
        <v>2</v>
      </c>
      <c r="C80" s="9" t="s">
        <v>313</v>
      </c>
      <c r="D80" s="9" t="s">
        <v>142</v>
      </c>
      <c r="E80" s="9"/>
    </row>
    <row r="81" customFormat="false" ht="35.05" hidden="false" customHeight="false" outlineLevel="0" collapsed="false">
      <c r="A81" s="9" t="s">
        <v>141</v>
      </c>
      <c r="B81" s="9" t="n">
        <v>2</v>
      </c>
      <c r="C81" s="9" t="s">
        <v>314</v>
      </c>
      <c r="D81" s="9" t="s">
        <v>142</v>
      </c>
      <c r="E81" s="9"/>
    </row>
    <row r="82" customFormat="false" ht="57.45" hidden="false" customHeight="false" outlineLevel="0" collapsed="false">
      <c r="A82" s="9" t="s">
        <v>145</v>
      </c>
      <c r="B82" s="9" t="n">
        <v>3</v>
      </c>
      <c r="C82" s="9" t="s">
        <v>311</v>
      </c>
      <c r="D82" s="9" t="s">
        <v>147</v>
      </c>
      <c r="E82" s="9"/>
    </row>
    <row r="83" customFormat="false" ht="57.45" hidden="false" customHeight="false" outlineLevel="0" collapsed="false">
      <c r="A83" s="9" t="s">
        <v>145</v>
      </c>
      <c r="B83" s="9" t="n">
        <v>3</v>
      </c>
      <c r="C83" s="9" t="s">
        <v>312</v>
      </c>
      <c r="D83" s="9" t="s">
        <v>147</v>
      </c>
      <c r="E83" s="9"/>
    </row>
    <row r="84" customFormat="false" ht="57.45" hidden="false" customHeight="false" outlineLevel="0" collapsed="false">
      <c r="A84" s="9" t="s">
        <v>145</v>
      </c>
      <c r="B84" s="9" t="n">
        <v>3</v>
      </c>
      <c r="C84" s="9" t="s">
        <v>313</v>
      </c>
      <c r="D84" s="9" t="s">
        <v>147</v>
      </c>
      <c r="E84" s="9"/>
    </row>
    <row r="85" customFormat="false" ht="57.45" hidden="false" customHeight="false" outlineLevel="0" collapsed="false">
      <c r="A85" s="9" t="s">
        <v>145</v>
      </c>
      <c r="B85" s="9" t="n">
        <v>3</v>
      </c>
      <c r="C85" s="9" t="s">
        <v>314</v>
      </c>
      <c r="D85" s="9" t="s">
        <v>147</v>
      </c>
      <c r="E85" s="9"/>
    </row>
    <row r="86" customFormat="false" ht="46.25" hidden="false" customHeight="false" outlineLevel="0" collapsed="false">
      <c r="A86" s="9" t="s">
        <v>150</v>
      </c>
      <c r="B86" s="9" t="n">
        <v>3</v>
      </c>
      <c r="C86" s="9" t="s">
        <v>311</v>
      </c>
      <c r="D86" s="9" t="s">
        <v>151</v>
      </c>
      <c r="E86" s="9"/>
    </row>
    <row r="87" customFormat="false" ht="46.25" hidden="false" customHeight="false" outlineLevel="0" collapsed="false">
      <c r="A87" s="9" t="s">
        <v>150</v>
      </c>
      <c r="B87" s="9" t="n">
        <v>3</v>
      </c>
      <c r="C87" s="9" t="s">
        <v>312</v>
      </c>
      <c r="D87" s="9" t="s">
        <v>151</v>
      </c>
      <c r="E87" s="9"/>
    </row>
    <row r="88" customFormat="false" ht="46.25" hidden="false" customHeight="false" outlineLevel="0" collapsed="false">
      <c r="A88" s="9" t="s">
        <v>150</v>
      </c>
      <c r="B88" s="9" t="n">
        <v>3</v>
      </c>
      <c r="C88" s="9" t="s">
        <v>313</v>
      </c>
      <c r="D88" s="9" t="s">
        <v>151</v>
      </c>
      <c r="E88" s="9"/>
    </row>
    <row r="89" customFormat="false" ht="46.25" hidden="false" customHeight="false" outlineLevel="0" collapsed="false">
      <c r="A89" s="9" t="s">
        <v>150</v>
      </c>
      <c r="B89" s="9" t="n">
        <v>3</v>
      </c>
      <c r="C89" s="9" t="s">
        <v>314</v>
      </c>
      <c r="D89" s="9" t="s">
        <v>151</v>
      </c>
      <c r="E89" s="9"/>
    </row>
    <row r="90" customFormat="false" ht="35.05" hidden="false" customHeight="false" outlineLevel="0" collapsed="false">
      <c r="A90" s="9" t="s">
        <v>154</v>
      </c>
      <c r="B90" s="9" t="n">
        <v>3</v>
      </c>
      <c r="C90" s="9" t="s">
        <v>311</v>
      </c>
      <c r="D90" s="9" t="s">
        <v>155</v>
      </c>
      <c r="E90" s="9"/>
    </row>
    <row r="91" customFormat="false" ht="35.05" hidden="false" customHeight="false" outlineLevel="0" collapsed="false">
      <c r="A91" s="9" t="s">
        <v>154</v>
      </c>
      <c r="B91" s="9" t="n">
        <v>3</v>
      </c>
      <c r="C91" s="9" t="s">
        <v>312</v>
      </c>
      <c r="D91" s="9" t="s">
        <v>155</v>
      </c>
      <c r="E91" s="9"/>
    </row>
    <row r="92" customFormat="false" ht="35.05" hidden="false" customHeight="false" outlineLevel="0" collapsed="false">
      <c r="A92" s="9" t="s">
        <v>154</v>
      </c>
      <c r="B92" s="9" t="n">
        <v>3</v>
      </c>
      <c r="C92" s="9" t="s">
        <v>313</v>
      </c>
      <c r="D92" s="9" t="s">
        <v>155</v>
      </c>
      <c r="E92" s="9"/>
    </row>
    <row r="93" customFormat="false" ht="35.05" hidden="false" customHeight="false" outlineLevel="0" collapsed="false">
      <c r="A93" s="9" t="s">
        <v>154</v>
      </c>
      <c r="B93" s="9" t="n">
        <v>3</v>
      </c>
      <c r="C93" s="9" t="s">
        <v>314</v>
      </c>
      <c r="D93" s="9" t="s">
        <v>155</v>
      </c>
      <c r="E93" s="9"/>
    </row>
    <row r="94" customFormat="false" ht="35.05" hidden="false" customHeight="false" outlineLevel="0" collapsed="false">
      <c r="A94" s="9" t="s">
        <v>158</v>
      </c>
      <c r="B94" s="9" t="n">
        <v>3</v>
      </c>
      <c r="C94" s="9" t="s">
        <v>311</v>
      </c>
      <c r="D94" s="9" t="s">
        <v>159</v>
      </c>
      <c r="E94" s="9"/>
    </row>
    <row r="95" customFormat="false" ht="35.05" hidden="false" customHeight="false" outlineLevel="0" collapsed="false">
      <c r="A95" s="9" t="s">
        <v>158</v>
      </c>
      <c r="B95" s="9" t="n">
        <v>3</v>
      </c>
      <c r="C95" s="9" t="s">
        <v>312</v>
      </c>
      <c r="D95" s="9" t="s">
        <v>159</v>
      </c>
      <c r="E95" s="9"/>
    </row>
    <row r="96" customFormat="false" ht="35.05" hidden="false" customHeight="false" outlineLevel="0" collapsed="false">
      <c r="A96" s="9" t="s">
        <v>158</v>
      </c>
      <c r="B96" s="9" t="n">
        <v>3</v>
      </c>
      <c r="C96" s="9" t="s">
        <v>313</v>
      </c>
      <c r="D96" s="9" t="s">
        <v>159</v>
      </c>
      <c r="E96" s="9"/>
    </row>
    <row r="97" customFormat="false" ht="35.05" hidden="false" customHeight="false" outlineLevel="0" collapsed="false">
      <c r="A97" s="9" t="s">
        <v>158</v>
      </c>
      <c r="B97" s="9" t="n">
        <v>3</v>
      </c>
      <c r="C97" s="9" t="s">
        <v>314</v>
      </c>
      <c r="D97" s="9" t="s">
        <v>159</v>
      </c>
      <c r="E97" s="9"/>
    </row>
    <row r="98" customFormat="false" ht="46.25" hidden="false" customHeight="false" outlineLevel="0" collapsed="false">
      <c r="A98" s="9" t="s">
        <v>162</v>
      </c>
      <c r="B98" s="9" t="n">
        <v>3</v>
      </c>
      <c r="C98" s="9" t="s">
        <v>311</v>
      </c>
      <c r="D98" s="9" t="s">
        <v>163</v>
      </c>
      <c r="E98" s="9"/>
    </row>
    <row r="99" customFormat="false" ht="46.25" hidden="false" customHeight="false" outlineLevel="0" collapsed="false">
      <c r="A99" s="9" t="s">
        <v>162</v>
      </c>
      <c r="B99" s="9" t="n">
        <v>3</v>
      </c>
      <c r="C99" s="9" t="s">
        <v>312</v>
      </c>
      <c r="D99" s="9" t="s">
        <v>163</v>
      </c>
      <c r="E99" s="9"/>
    </row>
    <row r="100" customFormat="false" ht="46.25" hidden="false" customHeight="false" outlineLevel="0" collapsed="false">
      <c r="A100" s="9" t="s">
        <v>162</v>
      </c>
      <c r="B100" s="9" t="n">
        <v>3</v>
      </c>
      <c r="C100" s="9" t="s">
        <v>313</v>
      </c>
      <c r="D100" s="9" t="s">
        <v>163</v>
      </c>
      <c r="E100" s="9"/>
    </row>
    <row r="101" customFormat="false" ht="46.25" hidden="false" customHeight="false" outlineLevel="0" collapsed="false">
      <c r="A101" s="9" t="s">
        <v>162</v>
      </c>
      <c r="B101" s="9" t="n">
        <v>3</v>
      </c>
      <c r="C101" s="9" t="s">
        <v>314</v>
      </c>
      <c r="D101" s="9" t="s">
        <v>163</v>
      </c>
      <c r="E101" s="9"/>
    </row>
    <row r="102" customFormat="false" ht="46.25" hidden="false" customHeight="false" outlineLevel="0" collapsed="false">
      <c r="A102" s="9" t="s">
        <v>166</v>
      </c>
      <c r="B102" s="9" t="n">
        <v>3</v>
      </c>
      <c r="C102" s="9" t="s">
        <v>311</v>
      </c>
      <c r="D102" s="9" t="s">
        <v>167</v>
      </c>
      <c r="E102" s="9"/>
    </row>
    <row r="103" customFormat="false" ht="46.25" hidden="false" customHeight="false" outlineLevel="0" collapsed="false">
      <c r="A103" s="9" t="s">
        <v>166</v>
      </c>
      <c r="B103" s="9" t="n">
        <v>3</v>
      </c>
      <c r="C103" s="9" t="s">
        <v>312</v>
      </c>
      <c r="D103" s="9" t="s">
        <v>167</v>
      </c>
      <c r="E103" s="9"/>
    </row>
    <row r="104" customFormat="false" ht="46.25" hidden="false" customHeight="false" outlineLevel="0" collapsed="false">
      <c r="A104" s="9" t="s">
        <v>166</v>
      </c>
      <c r="B104" s="9" t="n">
        <v>3</v>
      </c>
      <c r="C104" s="9" t="s">
        <v>313</v>
      </c>
      <c r="D104" s="9" t="s">
        <v>167</v>
      </c>
      <c r="E104" s="9"/>
    </row>
    <row r="105" customFormat="false" ht="46.25" hidden="false" customHeight="false" outlineLevel="0" collapsed="false">
      <c r="A105" s="9" t="s">
        <v>166</v>
      </c>
      <c r="B105" s="9" t="n">
        <v>3</v>
      </c>
      <c r="C105" s="9" t="s">
        <v>314</v>
      </c>
      <c r="D105" s="9" t="s">
        <v>167</v>
      </c>
      <c r="E105" s="9"/>
    </row>
    <row r="106" customFormat="false" ht="46.25" hidden="false" customHeight="false" outlineLevel="0" collapsed="false">
      <c r="A106" s="9" t="s">
        <v>170</v>
      </c>
      <c r="B106" s="9" t="n">
        <v>3</v>
      </c>
      <c r="C106" s="9" t="s">
        <v>311</v>
      </c>
      <c r="D106" s="9" t="s">
        <v>171</v>
      </c>
      <c r="E106" s="9"/>
    </row>
    <row r="107" customFormat="false" ht="46.25" hidden="false" customHeight="false" outlineLevel="0" collapsed="false">
      <c r="A107" s="9" t="s">
        <v>170</v>
      </c>
      <c r="B107" s="9" t="n">
        <v>3</v>
      </c>
      <c r="C107" s="9" t="s">
        <v>312</v>
      </c>
      <c r="D107" s="9" t="s">
        <v>171</v>
      </c>
      <c r="E107" s="9"/>
    </row>
    <row r="108" customFormat="false" ht="46.25" hidden="false" customHeight="false" outlineLevel="0" collapsed="false">
      <c r="A108" s="9" t="s">
        <v>170</v>
      </c>
      <c r="B108" s="9" t="n">
        <v>3</v>
      </c>
      <c r="C108" s="9" t="s">
        <v>313</v>
      </c>
      <c r="D108" s="9" t="s">
        <v>171</v>
      </c>
      <c r="E108" s="9"/>
    </row>
    <row r="109" customFormat="false" ht="46.25" hidden="false" customHeight="false" outlineLevel="0" collapsed="false">
      <c r="A109" s="9" t="s">
        <v>170</v>
      </c>
      <c r="B109" s="9" t="n">
        <v>3</v>
      </c>
      <c r="C109" s="9" t="s">
        <v>314</v>
      </c>
      <c r="D109" s="9" t="s">
        <v>171</v>
      </c>
      <c r="E109" s="9"/>
    </row>
    <row r="110" customFormat="false" ht="46.25" hidden="false" customHeight="false" outlineLevel="0" collapsed="false">
      <c r="A110" s="9" t="s">
        <v>174</v>
      </c>
      <c r="B110" s="9" t="n">
        <v>3</v>
      </c>
      <c r="C110" s="9" t="s">
        <v>311</v>
      </c>
      <c r="D110" s="9" t="s">
        <v>175</v>
      </c>
      <c r="E110" s="9"/>
    </row>
    <row r="111" customFormat="false" ht="46.25" hidden="false" customHeight="false" outlineLevel="0" collapsed="false">
      <c r="A111" s="9" t="s">
        <v>174</v>
      </c>
      <c r="B111" s="9" t="n">
        <v>3</v>
      </c>
      <c r="C111" s="9" t="s">
        <v>312</v>
      </c>
      <c r="D111" s="9" t="s">
        <v>175</v>
      </c>
      <c r="E111" s="9"/>
    </row>
    <row r="112" customFormat="false" ht="46.25" hidden="false" customHeight="false" outlineLevel="0" collapsed="false">
      <c r="A112" s="9" t="s">
        <v>174</v>
      </c>
      <c r="B112" s="9" t="n">
        <v>3</v>
      </c>
      <c r="C112" s="9" t="s">
        <v>313</v>
      </c>
      <c r="D112" s="9" t="s">
        <v>175</v>
      </c>
      <c r="E112" s="9"/>
    </row>
    <row r="113" customFormat="false" ht="46.25" hidden="false" customHeight="false" outlineLevel="0" collapsed="false">
      <c r="A113" s="9" t="s">
        <v>174</v>
      </c>
      <c r="B113" s="9" t="n">
        <v>3</v>
      </c>
      <c r="C113" s="9" t="s">
        <v>314</v>
      </c>
      <c r="D113" s="9" t="s">
        <v>175</v>
      </c>
      <c r="E113" s="9"/>
    </row>
    <row r="114" customFormat="false" ht="35.05" hidden="false" customHeight="false" outlineLevel="0" collapsed="false">
      <c r="A114" s="9" t="s">
        <v>178</v>
      </c>
      <c r="B114" s="9" t="n">
        <v>3</v>
      </c>
      <c r="C114" s="9" t="s">
        <v>311</v>
      </c>
      <c r="D114" s="9" t="s">
        <v>179</v>
      </c>
      <c r="E114" s="9"/>
    </row>
    <row r="115" customFormat="false" ht="35.05" hidden="false" customHeight="false" outlineLevel="0" collapsed="false">
      <c r="A115" s="9" t="s">
        <v>178</v>
      </c>
      <c r="B115" s="9" t="n">
        <v>3</v>
      </c>
      <c r="C115" s="9" t="s">
        <v>312</v>
      </c>
      <c r="D115" s="9" t="s">
        <v>179</v>
      </c>
      <c r="E115" s="9"/>
    </row>
    <row r="116" customFormat="false" ht="35.05" hidden="false" customHeight="false" outlineLevel="0" collapsed="false">
      <c r="A116" s="9" t="s">
        <v>178</v>
      </c>
      <c r="B116" s="9" t="n">
        <v>3</v>
      </c>
      <c r="C116" s="9" t="s">
        <v>313</v>
      </c>
      <c r="D116" s="9" t="s">
        <v>179</v>
      </c>
      <c r="E116" s="9"/>
    </row>
    <row r="117" customFormat="false" ht="35.05" hidden="false" customHeight="false" outlineLevel="0" collapsed="false">
      <c r="A117" s="9" t="s">
        <v>178</v>
      </c>
      <c r="B117" s="9" t="n">
        <v>3</v>
      </c>
      <c r="C117" s="9" t="s">
        <v>314</v>
      </c>
      <c r="D117" s="9" t="s">
        <v>179</v>
      </c>
      <c r="E117" s="9"/>
    </row>
    <row r="118" customFormat="false" ht="35.05" hidden="false" customHeight="false" outlineLevel="0" collapsed="false">
      <c r="A118" s="9" t="s">
        <v>182</v>
      </c>
      <c r="B118" s="9" t="n">
        <v>3</v>
      </c>
      <c r="C118" s="9" t="s">
        <v>311</v>
      </c>
      <c r="D118" s="9" t="s">
        <v>183</v>
      </c>
      <c r="E118" s="9"/>
    </row>
    <row r="119" customFormat="false" ht="35.05" hidden="false" customHeight="false" outlineLevel="0" collapsed="false">
      <c r="A119" s="9" t="s">
        <v>182</v>
      </c>
      <c r="B119" s="9" t="n">
        <v>3</v>
      </c>
      <c r="C119" s="9" t="s">
        <v>312</v>
      </c>
      <c r="D119" s="9" t="s">
        <v>183</v>
      </c>
      <c r="E119" s="9"/>
    </row>
    <row r="120" customFormat="false" ht="35.05" hidden="false" customHeight="false" outlineLevel="0" collapsed="false">
      <c r="A120" s="9" t="s">
        <v>182</v>
      </c>
      <c r="B120" s="9" t="n">
        <v>3</v>
      </c>
      <c r="C120" s="9" t="s">
        <v>313</v>
      </c>
      <c r="D120" s="9" t="s">
        <v>183</v>
      </c>
      <c r="E120" s="9"/>
    </row>
    <row r="121" customFormat="false" ht="35.05" hidden="false" customHeight="false" outlineLevel="0" collapsed="false">
      <c r="A121" s="9" t="s">
        <v>182</v>
      </c>
      <c r="B121" s="9" t="n">
        <v>3</v>
      </c>
      <c r="C121" s="9" t="s">
        <v>314</v>
      </c>
      <c r="D121" s="9" t="s">
        <v>183</v>
      </c>
      <c r="E121" s="9"/>
    </row>
    <row r="122" customFormat="false" ht="46.25" hidden="false" customHeight="false" outlineLevel="0" collapsed="false">
      <c r="A122" s="9" t="s">
        <v>186</v>
      </c>
      <c r="B122" s="9" t="n">
        <v>4</v>
      </c>
      <c r="C122" s="9" t="s">
        <v>311</v>
      </c>
      <c r="D122" s="9" t="s">
        <v>188</v>
      </c>
      <c r="E122" s="9"/>
    </row>
    <row r="123" customFormat="false" ht="46.25" hidden="false" customHeight="false" outlineLevel="0" collapsed="false">
      <c r="A123" s="9" t="s">
        <v>186</v>
      </c>
      <c r="B123" s="9" t="n">
        <v>4</v>
      </c>
      <c r="C123" s="9" t="s">
        <v>312</v>
      </c>
      <c r="D123" s="9" t="s">
        <v>188</v>
      </c>
      <c r="E123" s="9"/>
    </row>
    <row r="124" customFormat="false" ht="46.25" hidden="false" customHeight="false" outlineLevel="0" collapsed="false">
      <c r="A124" s="9" t="s">
        <v>186</v>
      </c>
      <c r="B124" s="9" t="n">
        <v>4</v>
      </c>
      <c r="C124" s="9" t="s">
        <v>313</v>
      </c>
      <c r="D124" s="9" t="s">
        <v>188</v>
      </c>
      <c r="E124" s="9"/>
    </row>
    <row r="125" customFormat="false" ht="46.25" hidden="false" customHeight="false" outlineLevel="0" collapsed="false">
      <c r="A125" s="9" t="s">
        <v>186</v>
      </c>
      <c r="B125" s="9" t="n">
        <v>4</v>
      </c>
      <c r="C125" s="9" t="s">
        <v>314</v>
      </c>
      <c r="D125" s="9" t="s">
        <v>188</v>
      </c>
      <c r="E125" s="9"/>
    </row>
    <row r="126" customFormat="false" ht="46.25" hidden="false" customHeight="false" outlineLevel="0" collapsed="false">
      <c r="A126" s="9" t="s">
        <v>191</v>
      </c>
      <c r="B126" s="9" t="n">
        <v>4</v>
      </c>
      <c r="C126" s="9" t="s">
        <v>311</v>
      </c>
      <c r="D126" s="9" t="s">
        <v>192</v>
      </c>
      <c r="E126" s="9"/>
    </row>
    <row r="127" customFormat="false" ht="46.25" hidden="false" customHeight="false" outlineLevel="0" collapsed="false">
      <c r="A127" s="9" t="s">
        <v>191</v>
      </c>
      <c r="B127" s="9" t="n">
        <v>4</v>
      </c>
      <c r="C127" s="9" t="s">
        <v>312</v>
      </c>
      <c r="D127" s="9" t="s">
        <v>192</v>
      </c>
      <c r="E127" s="9"/>
    </row>
    <row r="128" customFormat="false" ht="46.25" hidden="false" customHeight="false" outlineLevel="0" collapsed="false">
      <c r="A128" s="9" t="s">
        <v>191</v>
      </c>
      <c r="B128" s="9" t="n">
        <v>4</v>
      </c>
      <c r="C128" s="9" t="s">
        <v>313</v>
      </c>
      <c r="D128" s="9" t="s">
        <v>192</v>
      </c>
      <c r="E128" s="9"/>
    </row>
    <row r="129" customFormat="false" ht="46.25" hidden="false" customHeight="false" outlineLevel="0" collapsed="false">
      <c r="A129" s="9" t="s">
        <v>191</v>
      </c>
      <c r="B129" s="9" t="n">
        <v>4</v>
      </c>
      <c r="C129" s="9" t="s">
        <v>314</v>
      </c>
      <c r="D129" s="9" t="s">
        <v>192</v>
      </c>
      <c r="E129" s="9"/>
    </row>
    <row r="130" customFormat="false" ht="57.45" hidden="false" customHeight="false" outlineLevel="0" collapsed="false">
      <c r="A130" s="9" t="s">
        <v>195</v>
      </c>
      <c r="B130" s="9" t="n">
        <v>4</v>
      </c>
      <c r="C130" s="9" t="s">
        <v>311</v>
      </c>
      <c r="D130" s="9" t="s">
        <v>196</v>
      </c>
      <c r="E130" s="9"/>
    </row>
    <row r="131" customFormat="false" ht="57.45" hidden="false" customHeight="false" outlineLevel="0" collapsed="false">
      <c r="A131" s="9" t="s">
        <v>195</v>
      </c>
      <c r="B131" s="9" t="n">
        <v>4</v>
      </c>
      <c r="C131" s="9" t="s">
        <v>312</v>
      </c>
      <c r="D131" s="9" t="s">
        <v>196</v>
      </c>
      <c r="E131" s="9"/>
    </row>
    <row r="132" customFormat="false" ht="57.45" hidden="false" customHeight="false" outlineLevel="0" collapsed="false">
      <c r="A132" s="9" t="s">
        <v>195</v>
      </c>
      <c r="B132" s="9" t="n">
        <v>4</v>
      </c>
      <c r="C132" s="9" t="s">
        <v>313</v>
      </c>
      <c r="D132" s="9" t="s">
        <v>196</v>
      </c>
      <c r="E132" s="9"/>
    </row>
    <row r="133" customFormat="false" ht="57.45" hidden="false" customHeight="false" outlineLevel="0" collapsed="false">
      <c r="A133" s="9" t="s">
        <v>195</v>
      </c>
      <c r="B133" s="9" t="n">
        <v>4</v>
      </c>
      <c r="C133" s="9" t="s">
        <v>314</v>
      </c>
      <c r="D133" s="9" t="s">
        <v>196</v>
      </c>
      <c r="E133" s="9"/>
    </row>
    <row r="134" customFormat="false" ht="46.25" hidden="false" customHeight="false" outlineLevel="0" collapsed="false">
      <c r="A134" s="9" t="s">
        <v>199</v>
      </c>
      <c r="B134" s="9" t="n">
        <v>4</v>
      </c>
      <c r="C134" s="9" t="s">
        <v>311</v>
      </c>
      <c r="D134" s="9" t="s">
        <v>200</v>
      </c>
      <c r="E134" s="9"/>
    </row>
    <row r="135" customFormat="false" ht="46.25" hidden="false" customHeight="false" outlineLevel="0" collapsed="false">
      <c r="A135" s="9" t="s">
        <v>199</v>
      </c>
      <c r="B135" s="9" t="n">
        <v>4</v>
      </c>
      <c r="C135" s="9" t="s">
        <v>312</v>
      </c>
      <c r="D135" s="9" t="s">
        <v>200</v>
      </c>
      <c r="E135" s="9"/>
    </row>
    <row r="136" customFormat="false" ht="46.25" hidden="false" customHeight="false" outlineLevel="0" collapsed="false">
      <c r="A136" s="9" t="s">
        <v>199</v>
      </c>
      <c r="B136" s="9" t="n">
        <v>4</v>
      </c>
      <c r="C136" s="9" t="s">
        <v>313</v>
      </c>
      <c r="D136" s="9" t="s">
        <v>200</v>
      </c>
      <c r="E136" s="9"/>
    </row>
    <row r="137" customFormat="false" ht="46.25" hidden="false" customHeight="false" outlineLevel="0" collapsed="false">
      <c r="A137" s="9" t="s">
        <v>199</v>
      </c>
      <c r="B137" s="9" t="n">
        <v>4</v>
      </c>
      <c r="C137" s="9" t="s">
        <v>314</v>
      </c>
      <c r="D137" s="9" t="s">
        <v>200</v>
      </c>
      <c r="E137" s="9"/>
    </row>
    <row r="138" customFormat="false" ht="35.05" hidden="false" customHeight="false" outlineLevel="0" collapsed="false">
      <c r="A138" s="9" t="s">
        <v>202</v>
      </c>
      <c r="B138" s="9" t="n">
        <v>4</v>
      </c>
      <c r="C138" s="9" t="s">
        <v>311</v>
      </c>
      <c r="D138" s="9" t="s">
        <v>203</v>
      </c>
      <c r="E138" s="9"/>
    </row>
    <row r="139" customFormat="false" ht="35.05" hidden="false" customHeight="false" outlineLevel="0" collapsed="false">
      <c r="A139" s="9" t="s">
        <v>202</v>
      </c>
      <c r="B139" s="9" t="n">
        <v>4</v>
      </c>
      <c r="C139" s="9" t="s">
        <v>312</v>
      </c>
      <c r="D139" s="9" t="s">
        <v>203</v>
      </c>
      <c r="E139" s="9"/>
    </row>
    <row r="140" customFormat="false" ht="35.05" hidden="false" customHeight="false" outlineLevel="0" collapsed="false">
      <c r="A140" s="9" t="s">
        <v>202</v>
      </c>
      <c r="B140" s="9" t="n">
        <v>4</v>
      </c>
      <c r="C140" s="9" t="s">
        <v>313</v>
      </c>
      <c r="D140" s="9" t="s">
        <v>203</v>
      </c>
      <c r="E140" s="9"/>
    </row>
    <row r="141" customFormat="false" ht="35.05" hidden="false" customHeight="false" outlineLevel="0" collapsed="false">
      <c r="A141" s="9" t="s">
        <v>202</v>
      </c>
      <c r="B141" s="9" t="n">
        <v>4</v>
      </c>
      <c r="C141" s="9" t="s">
        <v>314</v>
      </c>
      <c r="D141" s="9" t="s">
        <v>203</v>
      </c>
      <c r="E141" s="9"/>
    </row>
    <row r="142" customFormat="false" ht="35.05" hidden="false" customHeight="false" outlineLevel="0" collapsed="false">
      <c r="A142" s="9" t="s">
        <v>206</v>
      </c>
      <c r="B142" s="9" t="n">
        <v>4</v>
      </c>
      <c r="C142" s="9" t="s">
        <v>311</v>
      </c>
      <c r="D142" s="9" t="s">
        <v>207</v>
      </c>
      <c r="E142" s="9"/>
    </row>
    <row r="143" customFormat="false" ht="35.05" hidden="false" customHeight="false" outlineLevel="0" collapsed="false">
      <c r="A143" s="9" t="s">
        <v>206</v>
      </c>
      <c r="B143" s="9" t="n">
        <v>4</v>
      </c>
      <c r="C143" s="9" t="s">
        <v>312</v>
      </c>
      <c r="D143" s="9" t="s">
        <v>207</v>
      </c>
      <c r="E143" s="9"/>
    </row>
    <row r="144" customFormat="false" ht="35.05" hidden="false" customHeight="false" outlineLevel="0" collapsed="false">
      <c r="A144" s="9" t="s">
        <v>206</v>
      </c>
      <c r="B144" s="9" t="n">
        <v>4</v>
      </c>
      <c r="C144" s="9" t="s">
        <v>313</v>
      </c>
      <c r="D144" s="9" t="s">
        <v>207</v>
      </c>
      <c r="E144" s="9"/>
    </row>
    <row r="145" customFormat="false" ht="35.05" hidden="false" customHeight="false" outlineLevel="0" collapsed="false">
      <c r="A145" s="9" t="s">
        <v>206</v>
      </c>
      <c r="B145" s="9" t="n">
        <v>4</v>
      </c>
      <c r="C145" s="9" t="s">
        <v>314</v>
      </c>
      <c r="D145" s="9" t="s">
        <v>207</v>
      </c>
      <c r="E145" s="9"/>
    </row>
    <row r="146" customFormat="false" ht="35.05" hidden="false" customHeight="false" outlineLevel="0" collapsed="false">
      <c r="A146" s="9" t="s">
        <v>210</v>
      </c>
      <c r="B146" s="9" t="n">
        <v>4</v>
      </c>
      <c r="C146" s="9" t="s">
        <v>311</v>
      </c>
      <c r="D146" s="9" t="s">
        <v>211</v>
      </c>
      <c r="E146" s="9"/>
    </row>
    <row r="147" customFormat="false" ht="35.05" hidden="false" customHeight="false" outlineLevel="0" collapsed="false">
      <c r="A147" s="9" t="s">
        <v>210</v>
      </c>
      <c r="B147" s="9" t="n">
        <v>4</v>
      </c>
      <c r="C147" s="9" t="s">
        <v>312</v>
      </c>
      <c r="D147" s="9" t="s">
        <v>211</v>
      </c>
      <c r="E147" s="9"/>
    </row>
    <row r="148" customFormat="false" ht="35.05" hidden="false" customHeight="false" outlineLevel="0" collapsed="false">
      <c r="A148" s="9" t="s">
        <v>210</v>
      </c>
      <c r="B148" s="9" t="n">
        <v>4</v>
      </c>
      <c r="C148" s="9" t="s">
        <v>313</v>
      </c>
      <c r="D148" s="9" t="s">
        <v>211</v>
      </c>
      <c r="E148" s="9"/>
    </row>
    <row r="149" customFormat="false" ht="35.05" hidden="false" customHeight="false" outlineLevel="0" collapsed="false">
      <c r="A149" s="9" t="s">
        <v>210</v>
      </c>
      <c r="B149" s="9" t="n">
        <v>4</v>
      </c>
      <c r="C149" s="9" t="s">
        <v>314</v>
      </c>
      <c r="D149" s="9" t="s">
        <v>211</v>
      </c>
      <c r="E149" s="9"/>
    </row>
    <row r="150" customFormat="false" ht="35.05" hidden="false" customHeight="false" outlineLevel="0" collapsed="false">
      <c r="A150" s="9" t="s">
        <v>214</v>
      </c>
      <c r="B150" s="9" t="n">
        <v>4</v>
      </c>
      <c r="C150" s="9" t="s">
        <v>311</v>
      </c>
      <c r="D150" s="9" t="s">
        <v>215</v>
      </c>
      <c r="E150" s="9"/>
    </row>
    <row r="151" customFormat="false" ht="35.05" hidden="false" customHeight="false" outlineLevel="0" collapsed="false">
      <c r="A151" s="9" t="s">
        <v>214</v>
      </c>
      <c r="B151" s="9" t="n">
        <v>4</v>
      </c>
      <c r="C151" s="9" t="s">
        <v>312</v>
      </c>
      <c r="D151" s="9" t="s">
        <v>215</v>
      </c>
      <c r="E151" s="9"/>
    </row>
    <row r="152" customFormat="false" ht="35.05" hidden="false" customHeight="false" outlineLevel="0" collapsed="false">
      <c r="A152" s="9" t="s">
        <v>214</v>
      </c>
      <c r="B152" s="9" t="n">
        <v>4</v>
      </c>
      <c r="C152" s="9" t="s">
        <v>313</v>
      </c>
      <c r="D152" s="9" t="s">
        <v>215</v>
      </c>
      <c r="E152" s="9"/>
    </row>
    <row r="153" customFormat="false" ht="35.05" hidden="false" customHeight="false" outlineLevel="0" collapsed="false">
      <c r="A153" s="9" t="s">
        <v>214</v>
      </c>
      <c r="B153" s="9" t="n">
        <v>4</v>
      </c>
      <c r="C153" s="9" t="s">
        <v>314</v>
      </c>
      <c r="D153" s="9" t="s">
        <v>215</v>
      </c>
      <c r="E153" s="9"/>
    </row>
    <row r="154" customFormat="false" ht="35.05" hidden="false" customHeight="false" outlineLevel="0" collapsed="false">
      <c r="A154" s="9" t="s">
        <v>217</v>
      </c>
      <c r="B154" s="9" t="n">
        <v>4</v>
      </c>
      <c r="C154" s="9" t="s">
        <v>311</v>
      </c>
      <c r="D154" s="9" t="s">
        <v>218</v>
      </c>
      <c r="E154" s="9"/>
    </row>
    <row r="155" customFormat="false" ht="35.05" hidden="false" customHeight="false" outlineLevel="0" collapsed="false">
      <c r="A155" s="9" t="s">
        <v>217</v>
      </c>
      <c r="B155" s="9" t="n">
        <v>4</v>
      </c>
      <c r="C155" s="9" t="s">
        <v>312</v>
      </c>
      <c r="D155" s="9" t="s">
        <v>218</v>
      </c>
      <c r="E155" s="9"/>
    </row>
    <row r="156" customFormat="false" ht="35.05" hidden="false" customHeight="false" outlineLevel="0" collapsed="false">
      <c r="A156" s="9" t="s">
        <v>217</v>
      </c>
      <c r="B156" s="9" t="n">
        <v>4</v>
      </c>
      <c r="C156" s="9" t="s">
        <v>313</v>
      </c>
      <c r="D156" s="9" t="s">
        <v>218</v>
      </c>
      <c r="E156" s="9"/>
    </row>
    <row r="157" customFormat="false" ht="35.05" hidden="false" customHeight="false" outlineLevel="0" collapsed="false">
      <c r="A157" s="9" t="s">
        <v>217</v>
      </c>
      <c r="B157" s="9" t="n">
        <v>4</v>
      </c>
      <c r="C157" s="9" t="s">
        <v>314</v>
      </c>
      <c r="D157" s="9" t="s">
        <v>218</v>
      </c>
      <c r="E157" s="9"/>
    </row>
    <row r="158" customFormat="false" ht="35.05" hidden="false" customHeight="false" outlineLevel="0" collapsed="false">
      <c r="A158" s="9" t="s">
        <v>221</v>
      </c>
      <c r="B158" s="9" t="n">
        <v>4</v>
      </c>
      <c r="C158" s="9" t="s">
        <v>311</v>
      </c>
      <c r="D158" s="9" t="s">
        <v>222</v>
      </c>
      <c r="E158" s="9"/>
    </row>
    <row r="159" customFormat="false" ht="35.05" hidden="false" customHeight="false" outlineLevel="0" collapsed="false">
      <c r="A159" s="9" t="s">
        <v>221</v>
      </c>
      <c r="B159" s="9" t="n">
        <v>4</v>
      </c>
      <c r="C159" s="9" t="s">
        <v>312</v>
      </c>
      <c r="D159" s="9" t="s">
        <v>222</v>
      </c>
      <c r="E159" s="9"/>
    </row>
    <row r="160" customFormat="false" ht="35.05" hidden="false" customHeight="false" outlineLevel="0" collapsed="false">
      <c r="A160" s="9" t="s">
        <v>221</v>
      </c>
      <c r="B160" s="9" t="n">
        <v>4</v>
      </c>
      <c r="C160" s="9" t="s">
        <v>313</v>
      </c>
      <c r="D160" s="9" t="s">
        <v>222</v>
      </c>
      <c r="E160" s="9"/>
    </row>
    <row r="161" customFormat="false" ht="35.05" hidden="false" customHeight="false" outlineLevel="0" collapsed="false">
      <c r="A161" s="9" t="s">
        <v>221</v>
      </c>
      <c r="B161" s="9" t="n">
        <v>4</v>
      </c>
      <c r="C161" s="9" t="s">
        <v>314</v>
      </c>
      <c r="D161" s="9" t="s">
        <v>222</v>
      </c>
      <c r="E161" s="9"/>
    </row>
    <row r="162" customFormat="false" ht="35.05" hidden="false" customHeight="false" outlineLevel="0" collapsed="false">
      <c r="A162" s="9" t="s">
        <v>225</v>
      </c>
      <c r="B162" s="9" t="n">
        <v>5</v>
      </c>
      <c r="C162" s="9" t="s">
        <v>311</v>
      </c>
      <c r="D162" s="9" t="s">
        <v>227</v>
      </c>
      <c r="E162" s="9"/>
    </row>
    <row r="163" customFormat="false" ht="35.05" hidden="false" customHeight="false" outlineLevel="0" collapsed="false">
      <c r="A163" s="9" t="s">
        <v>225</v>
      </c>
      <c r="B163" s="9" t="n">
        <v>5</v>
      </c>
      <c r="C163" s="9" t="s">
        <v>312</v>
      </c>
      <c r="D163" s="9" t="s">
        <v>227</v>
      </c>
      <c r="E163" s="9"/>
    </row>
    <row r="164" customFormat="false" ht="35.05" hidden="false" customHeight="false" outlineLevel="0" collapsed="false">
      <c r="A164" s="9" t="s">
        <v>225</v>
      </c>
      <c r="B164" s="9" t="n">
        <v>5</v>
      </c>
      <c r="C164" s="9" t="s">
        <v>313</v>
      </c>
      <c r="D164" s="9" t="s">
        <v>227</v>
      </c>
      <c r="E164" s="9"/>
    </row>
    <row r="165" customFormat="false" ht="35.05" hidden="false" customHeight="false" outlineLevel="0" collapsed="false">
      <c r="A165" s="9" t="s">
        <v>225</v>
      </c>
      <c r="B165" s="9" t="n">
        <v>5</v>
      </c>
      <c r="C165" s="9" t="s">
        <v>314</v>
      </c>
      <c r="D165" s="9" t="s">
        <v>227</v>
      </c>
      <c r="E165" s="9"/>
    </row>
    <row r="166" customFormat="false" ht="35.05" hidden="false" customHeight="false" outlineLevel="0" collapsed="false">
      <c r="A166" s="9" t="s">
        <v>230</v>
      </c>
      <c r="B166" s="9" t="n">
        <v>5</v>
      </c>
      <c r="C166" s="9" t="s">
        <v>311</v>
      </c>
      <c r="D166" s="9" t="s">
        <v>231</v>
      </c>
      <c r="E166" s="9"/>
    </row>
    <row r="167" customFormat="false" ht="35.05" hidden="false" customHeight="false" outlineLevel="0" collapsed="false">
      <c r="A167" s="9" t="s">
        <v>230</v>
      </c>
      <c r="B167" s="9" t="n">
        <v>5</v>
      </c>
      <c r="C167" s="9" t="s">
        <v>312</v>
      </c>
      <c r="D167" s="9" t="s">
        <v>231</v>
      </c>
      <c r="E167" s="9"/>
    </row>
    <row r="168" customFormat="false" ht="35.05" hidden="false" customHeight="false" outlineLevel="0" collapsed="false">
      <c r="A168" s="9" t="s">
        <v>230</v>
      </c>
      <c r="B168" s="9" t="n">
        <v>5</v>
      </c>
      <c r="C168" s="9" t="s">
        <v>313</v>
      </c>
      <c r="D168" s="9" t="s">
        <v>231</v>
      </c>
      <c r="E168" s="9"/>
    </row>
    <row r="169" customFormat="false" ht="35.05" hidden="false" customHeight="false" outlineLevel="0" collapsed="false">
      <c r="A169" s="9" t="s">
        <v>230</v>
      </c>
      <c r="B169" s="9" t="n">
        <v>5</v>
      </c>
      <c r="C169" s="9" t="s">
        <v>314</v>
      </c>
      <c r="D169" s="9" t="s">
        <v>231</v>
      </c>
      <c r="E169" s="9"/>
    </row>
    <row r="170" customFormat="false" ht="46.25" hidden="false" customHeight="false" outlineLevel="0" collapsed="false">
      <c r="A170" s="9" t="s">
        <v>234</v>
      </c>
      <c r="B170" s="9" t="n">
        <v>5</v>
      </c>
      <c r="C170" s="9" t="s">
        <v>311</v>
      </c>
      <c r="D170" s="9" t="s">
        <v>235</v>
      </c>
      <c r="E170" s="9"/>
    </row>
    <row r="171" customFormat="false" ht="46.25" hidden="false" customHeight="false" outlineLevel="0" collapsed="false">
      <c r="A171" s="9" t="s">
        <v>234</v>
      </c>
      <c r="B171" s="9" t="n">
        <v>5</v>
      </c>
      <c r="C171" s="9" t="s">
        <v>312</v>
      </c>
      <c r="D171" s="9" t="s">
        <v>235</v>
      </c>
      <c r="E171" s="9"/>
    </row>
    <row r="172" customFormat="false" ht="46.25" hidden="false" customHeight="false" outlineLevel="0" collapsed="false">
      <c r="A172" s="9" t="s">
        <v>234</v>
      </c>
      <c r="B172" s="9" t="n">
        <v>5</v>
      </c>
      <c r="C172" s="9" t="s">
        <v>313</v>
      </c>
      <c r="D172" s="9" t="s">
        <v>235</v>
      </c>
      <c r="E172" s="9"/>
    </row>
    <row r="173" customFormat="false" ht="46.25" hidden="false" customHeight="false" outlineLevel="0" collapsed="false">
      <c r="A173" s="9" t="s">
        <v>234</v>
      </c>
      <c r="B173" s="9" t="n">
        <v>5</v>
      </c>
      <c r="C173" s="9" t="s">
        <v>314</v>
      </c>
      <c r="D173" s="9" t="s">
        <v>235</v>
      </c>
      <c r="E173" s="9"/>
    </row>
    <row r="174" customFormat="false" ht="46.25" hidden="false" customHeight="false" outlineLevel="0" collapsed="false">
      <c r="A174" s="9" t="s">
        <v>238</v>
      </c>
      <c r="B174" s="9" t="n">
        <v>5</v>
      </c>
      <c r="C174" s="9" t="s">
        <v>311</v>
      </c>
      <c r="D174" s="9" t="s">
        <v>239</v>
      </c>
      <c r="E174" s="9"/>
    </row>
    <row r="175" customFormat="false" ht="46.25" hidden="false" customHeight="false" outlineLevel="0" collapsed="false">
      <c r="A175" s="9" t="s">
        <v>238</v>
      </c>
      <c r="B175" s="9" t="n">
        <v>5</v>
      </c>
      <c r="C175" s="9" t="s">
        <v>312</v>
      </c>
      <c r="D175" s="9" t="s">
        <v>239</v>
      </c>
      <c r="E175" s="9"/>
    </row>
    <row r="176" customFormat="false" ht="46.25" hidden="false" customHeight="false" outlineLevel="0" collapsed="false">
      <c r="A176" s="9" t="s">
        <v>238</v>
      </c>
      <c r="B176" s="9" t="n">
        <v>5</v>
      </c>
      <c r="C176" s="9" t="s">
        <v>313</v>
      </c>
      <c r="D176" s="9" t="s">
        <v>239</v>
      </c>
      <c r="E176" s="9"/>
    </row>
    <row r="177" customFormat="false" ht="46.25" hidden="false" customHeight="false" outlineLevel="0" collapsed="false">
      <c r="A177" s="9" t="s">
        <v>238</v>
      </c>
      <c r="B177" s="9" t="n">
        <v>5</v>
      </c>
      <c r="C177" s="9" t="s">
        <v>314</v>
      </c>
      <c r="D177" s="9" t="s">
        <v>239</v>
      </c>
      <c r="E177" s="9"/>
    </row>
    <row r="178" customFormat="false" ht="35.05" hidden="false" customHeight="false" outlineLevel="0" collapsed="false">
      <c r="A178" s="9" t="s">
        <v>242</v>
      </c>
      <c r="B178" s="9" t="n">
        <v>5</v>
      </c>
      <c r="C178" s="9" t="s">
        <v>311</v>
      </c>
      <c r="D178" s="9" t="s">
        <v>243</v>
      </c>
      <c r="E178" s="9"/>
    </row>
    <row r="179" customFormat="false" ht="35.05" hidden="false" customHeight="false" outlineLevel="0" collapsed="false">
      <c r="A179" s="9" t="s">
        <v>242</v>
      </c>
      <c r="B179" s="9" t="n">
        <v>5</v>
      </c>
      <c r="C179" s="9" t="s">
        <v>312</v>
      </c>
      <c r="D179" s="9" t="s">
        <v>243</v>
      </c>
      <c r="E179" s="9"/>
    </row>
    <row r="180" customFormat="false" ht="35.05" hidden="false" customHeight="false" outlineLevel="0" collapsed="false">
      <c r="A180" s="9" t="s">
        <v>242</v>
      </c>
      <c r="B180" s="9" t="n">
        <v>5</v>
      </c>
      <c r="C180" s="9" t="s">
        <v>313</v>
      </c>
      <c r="D180" s="9" t="s">
        <v>243</v>
      </c>
      <c r="E180" s="9"/>
    </row>
    <row r="181" customFormat="false" ht="35.05" hidden="false" customHeight="false" outlineLevel="0" collapsed="false">
      <c r="A181" s="9" t="s">
        <v>242</v>
      </c>
      <c r="B181" s="9" t="n">
        <v>5</v>
      </c>
      <c r="C181" s="9" t="s">
        <v>314</v>
      </c>
      <c r="D181" s="9" t="s">
        <v>243</v>
      </c>
      <c r="E181" s="9"/>
    </row>
    <row r="182" customFormat="false" ht="35.05" hidden="false" customHeight="false" outlineLevel="0" collapsed="false">
      <c r="A182" s="9" t="s">
        <v>246</v>
      </c>
      <c r="B182" s="9" t="n">
        <v>5</v>
      </c>
      <c r="C182" s="9" t="s">
        <v>311</v>
      </c>
      <c r="D182" s="9" t="s">
        <v>247</v>
      </c>
      <c r="E182" s="9"/>
    </row>
    <row r="183" customFormat="false" ht="35.05" hidden="false" customHeight="false" outlineLevel="0" collapsed="false">
      <c r="A183" s="9" t="s">
        <v>246</v>
      </c>
      <c r="B183" s="9" t="n">
        <v>5</v>
      </c>
      <c r="C183" s="9" t="s">
        <v>312</v>
      </c>
      <c r="D183" s="9" t="s">
        <v>247</v>
      </c>
      <c r="E183" s="9"/>
    </row>
    <row r="184" customFormat="false" ht="35.05" hidden="false" customHeight="false" outlineLevel="0" collapsed="false">
      <c r="A184" s="9" t="s">
        <v>246</v>
      </c>
      <c r="B184" s="9" t="n">
        <v>5</v>
      </c>
      <c r="C184" s="9" t="s">
        <v>313</v>
      </c>
      <c r="D184" s="9" t="s">
        <v>247</v>
      </c>
      <c r="E184" s="9"/>
    </row>
    <row r="185" customFormat="false" ht="35.05" hidden="false" customHeight="false" outlineLevel="0" collapsed="false">
      <c r="A185" s="9" t="s">
        <v>246</v>
      </c>
      <c r="B185" s="9" t="n">
        <v>5</v>
      </c>
      <c r="C185" s="9" t="s">
        <v>314</v>
      </c>
      <c r="D185" s="9" t="s">
        <v>247</v>
      </c>
      <c r="E185" s="9"/>
    </row>
    <row r="186" customFormat="false" ht="57.45" hidden="false" customHeight="false" outlineLevel="0" collapsed="false">
      <c r="A186" s="9" t="s">
        <v>250</v>
      </c>
      <c r="B186" s="9" t="n">
        <v>5</v>
      </c>
      <c r="C186" s="9" t="s">
        <v>311</v>
      </c>
      <c r="D186" s="9" t="s">
        <v>251</v>
      </c>
      <c r="E186" s="9"/>
    </row>
    <row r="187" customFormat="false" ht="57.45" hidden="false" customHeight="false" outlineLevel="0" collapsed="false">
      <c r="A187" s="9" t="s">
        <v>250</v>
      </c>
      <c r="B187" s="9" t="n">
        <v>5</v>
      </c>
      <c r="C187" s="9" t="s">
        <v>312</v>
      </c>
      <c r="D187" s="9" t="s">
        <v>251</v>
      </c>
      <c r="E187" s="9"/>
    </row>
    <row r="188" customFormat="false" ht="57.45" hidden="false" customHeight="false" outlineLevel="0" collapsed="false">
      <c r="A188" s="9" t="s">
        <v>250</v>
      </c>
      <c r="B188" s="9" t="n">
        <v>5</v>
      </c>
      <c r="C188" s="9" t="s">
        <v>313</v>
      </c>
      <c r="D188" s="9" t="s">
        <v>251</v>
      </c>
      <c r="E188" s="9"/>
    </row>
    <row r="189" customFormat="false" ht="57.45" hidden="false" customHeight="false" outlineLevel="0" collapsed="false">
      <c r="A189" s="9" t="s">
        <v>250</v>
      </c>
      <c r="B189" s="9" t="n">
        <v>5</v>
      </c>
      <c r="C189" s="9" t="s">
        <v>314</v>
      </c>
      <c r="D189" s="9" t="s">
        <v>251</v>
      </c>
      <c r="E189" s="9"/>
    </row>
    <row r="190" customFormat="false" ht="46.25" hidden="false" customHeight="false" outlineLevel="0" collapsed="false">
      <c r="A190" s="9" t="s">
        <v>255</v>
      </c>
      <c r="B190" s="9" t="n">
        <v>5</v>
      </c>
      <c r="C190" s="9" t="s">
        <v>311</v>
      </c>
      <c r="D190" s="9" t="s">
        <v>256</v>
      </c>
      <c r="E190" s="9"/>
    </row>
    <row r="191" customFormat="false" ht="46.25" hidden="false" customHeight="false" outlineLevel="0" collapsed="false">
      <c r="A191" s="9" t="s">
        <v>255</v>
      </c>
      <c r="B191" s="9" t="n">
        <v>5</v>
      </c>
      <c r="C191" s="9" t="s">
        <v>312</v>
      </c>
      <c r="D191" s="9" t="s">
        <v>256</v>
      </c>
      <c r="E191" s="9"/>
    </row>
    <row r="192" customFormat="false" ht="46.25" hidden="false" customHeight="false" outlineLevel="0" collapsed="false">
      <c r="A192" s="9" t="s">
        <v>255</v>
      </c>
      <c r="B192" s="9" t="n">
        <v>5</v>
      </c>
      <c r="C192" s="9" t="s">
        <v>313</v>
      </c>
      <c r="D192" s="9" t="s">
        <v>256</v>
      </c>
      <c r="E192" s="9"/>
    </row>
    <row r="193" customFormat="false" ht="46.25" hidden="false" customHeight="false" outlineLevel="0" collapsed="false">
      <c r="A193" s="9" t="s">
        <v>255</v>
      </c>
      <c r="B193" s="9" t="n">
        <v>5</v>
      </c>
      <c r="C193" s="9" t="s">
        <v>314</v>
      </c>
      <c r="D193" s="9" t="s">
        <v>256</v>
      </c>
      <c r="E193" s="9"/>
    </row>
    <row r="194" customFormat="false" ht="35.05" hidden="false" customHeight="false" outlineLevel="0" collapsed="false">
      <c r="A194" s="9" t="s">
        <v>259</v>
      </c>
      <c r="B194" s="9" t="n">
        <v>5</v>
      </c>
      <c r="C194" s="9" t="s">
        <v>311</v>
      </c>
      <c r="D194" s="9" t="s">
        <v>260</v>
      </c>
      <c r="E194" s="9"/>
    </row>
    <row r="195" customFormat="false" ht="35.05" hidden="false" customHeight="false" outlineLevel="0" collapsed="false">
      <c r="A195" s="9" t="s">
        <v>259</v>
      </c>
      <c r="B195" s="9" t="n">
        <v>5</v>
      </c>
      <c r="C195" s="9" t="s">
        <v>312</v>
      </c>
      <c r="D195" s="9" t="s">
        <v>260</v>
      </c>
      <c r="E195" s="9"/>
    </row>
    <row r="196" customFormat="false" ht="35.05" hidden="false" customHeight="false" outlineLevel="0" collapsed="false">
      <c r="A196" s="9" t="s">
        <v>259</v>
      </c>
      <c r="B196" s="9" t="n">
        <v>5</v>
      </c>
      <c r="C196" s="9" t="s">
        <v>313</v>
      </c>
      <c r="D196" s="9" t="s">
        <v>260</v>
      </c>
      <c r="E196" s="9"/>
    </row>
    <row r="197" customFormat="false" ht="35.05" hidden="false" customHeight="false" outlineLevel="0" collapsed="false">
      <c r="A197" s="9" t="s">
        <v>259</v>
      </c>
      <c r="B197" s="9" t="n">
        <v>5</v>
      </c>
      <c r="C197" s="9" t="s">
        <v>314</v>
      </c>
      <c r="D197" s="9" t="s">
        <v>260</v>
      </c>
      <c r="E197" s="9"/>
    </row>
    <row r="198" customFormat="false" ht="46.25" hidden="false" customHeight="false" outlineLevel="0" collapsed="false">
      <c r="A198" s="9" t="s">
        <v>263</v>
      </c>
      <c r="B198" s="9" t="n">
        <v>5</v>
      </c>
      <c r="C198" s="9" t="s">
        <v>311</v>
      </c>
      <c r="D198" s="9" t="s">
        <v>264</v>
      </c>
      <c r="E198" s="9"/>
    </row>
    <row r="199" customFormat="false" ht="46.25" hidden="false" customHeight="false" outlineLevel="0" collapsed="false">
      <c r="A199" s="9" t="s">
        <v>263</v>
      </c>
      <c r="B199" s="9" t="n">
        <v>5</v>
      </c>
      <c r="C199" s="9" t="s">
        <v>312</v>
      </c>
      <c r="D199" s="9" t="s">
        <v>264</v>
      </c>
      <c r="E199" s="9"/>
    </row>
    <row r="200" customFormat="false" ht="46.25" hidden="false" customHeight="false" outlineLevel="0" collapsed="false">
      <c r="A200" s="9" t="s">
        <v>263</v>
      </c>
      <c r="B200" s="9" t="n">
        <v>5</v>
      </c>
      <c r="C200" s="9" t="s">
        <v>313</v>
      </c>
      <c r="D200" s="9" t="s">
        <v>264</v>
      </c>
      <c r="E200" s="9"/>
    </row>
    <row r="201" customFormat="false" ht="46.25" hidden="false" customHeight="false" outlineLevel="0" collapsed="false">
      <c r="A201" s="9" t="s">
        <v>263</v>
      </c>
      <c r="B201" s="9" t="n">
        <v>5</v>
      </c>
      <c r="C201" s="9" t="s">
        <v>314</v>
      </c>
      <c r="D201" s="9" t="s">
        <v>264</v>
      </c>
      <c r="E201"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6"/>
    <col collapsed="false" customWidth="true" hidden="false" outlineLevel="0" max="3" min="3" style="0" width="24"/>
    <col collapsed="false" customWidth="true" hidden="false" outlineLevel="0" max="5" min="4" style="0" width="15"/>
    <col collapsed="false" customWidth="true" hidden="false" outlineLevel="0" max="6" min="6" style="0" width="18"/>
    <col collapsed="false" customWidth="true" hidden="false" outlineLevel="0" max="7" min="7" style="0" width="11"/>
    <col collapsed="false" customWidth="true" hidden="false" outlineLevel="0" max="8" min="8" style="0" width="46"/>
  </cols>
  <sheetData>
    <row r="1" customFormat="false" ht="30" hidden="false" customHeight="true" outlineLevel="0" collapsed="false">
      <c r="A1" s="6" t="s">
        <v>46</v>
      </c>
      <c r="B1" s="6" t="s">
        <v>47</v>
      </c>
      <c r="C1" s="6" t="s">
        <v>308</v>
      </c>
      <c r="D1" s="6" t="s">
        <v>315</v>
      </c>
      <c r="E1" s="6" t="s">
        <v>316</v>
      </c>
      <c r="F1" s="6" t="s">
        <v>317</v>
      </c>
      <c r="G1" s="6" t="s">
        <v>318</v>
      </c>
      <c r="H1" s="6" t="s">
        <v>319</v>
      </c>
    </row>
    <row r="2" customFormat="false" ht="15" hidden="false" customHeight="false" outlineLevel="0" collapsed="false">
      <c r="A2" s="18" t="s">
        <v>54</v>
      </c>
      <c r="B2" s="18" t="n">
        <v>1</v>
      </c>
      <c r="C2" s="18" t="s">
        <v>311</v>
      </c>
      <c r="D2" s="18"/>
      <c r="E2" s="18"/>
      <c r="F2" s="18"/>
      <c r="G2" s="18" t="str">
        <f aca="false">IF(COUNT(D2:F2)=3,SUM(D2:F2),"")</f>
        <v/>
      </c>
      <c r="H2" s="9"/>
    </row>
    <row r="3" customFormat="false" ht="15" hidden="false" customHeight="false" outlineLevel="0" collapsed="false">
      <c r="A3" s="18" t="s">
        <v>54</v>
      </c>
      <c r="B3" s="18" t="n">
        <v>1</v>
      </c>
      <c r="C3" s="18" t="s">
        <v>312</v>
      </c>
      <c r="D3" s="18"/>
      <c r="E3" s="18"/>
      <c r="F3" s="18"/>
      <c r="G3" s="18" t="str">
        <f aca="false">IF(COUNT(D3:F3)=3,SUM(D3:F3),"")</f>
        <v/>
      </c>
      <c r="H3" s="9"/>
    </row>
    <row r="4" customFormat="false" ht="15" hidden="false" customHeight="false" outlineLevel="0" collapsed="false">
      <c r="A4" s="18" t="s">
        <v>54</v>
      </c>
      <c r="B4" s="18" t="n">
        <v>1</v>
      </c>
      <c r="C4" s="18" t="s">
        <v>313</v>
      </c>
      <c r="D4" s="18"/>
      <c r="E4" s="18"/>
      <c r="F4" s="18"/>
      <c r="G4" s="18" t="str">
        <f aca="false">IF(COUNT(D4:F4)=3,SUM(D4:F4),"")</f>
        <v/>
      </c>
      <c r="H4" s="9"/>
    </row>
    <row r="5" customFormat="false" ht="15" hidden="false" customHeight="false" outlineLevel="0" collapsed="false">
      <c r="A5" s="18" t="s">
        <v>54</v>
      </c>
      <c r="B5" s="18" t="n">
        <v>1</v>
      </c>
      <c r="C5" s="18" t="s">
        <v>314</v>
      </c>
      <c r="D5" s="18"/>
      <c r="E5" s="18"/>
      <c r="F5" s="18"/>
      <c r="G5" s="18" t="str">
        <f aca="false">IF(COUNT(D5:F5)=3,SUM(D5:F5),"")</f>
        <v/>
      </c>
      <c r="H5" s="9"/>
    </row>
    <row r="6" customFormat="false" ht="15" hidden="false" customHeight="false" outlineLevel="0" collapsed="false">
      <c r="A6" s="18" t="s">
        <v>61</v>
      </c>
      <c r="B6" s="18" t="n">
        <v>1</v>
      </c>
      <c r="C6" s="18" t="s">
        <v>311</v>
      </c>
      <c r="D6" s="18"/>
      <c r="E6" s="18"/>
      <c r="F6" s="18"/>
      <c r="G6" s="18" t="str">
        <f aca="false">IF(COUNT(D6:F6)=3,SUM(D6:F6),"")</f>
        <v/>
      </c>
      <c r="H6" s="9"/>
    </row>
    <row r="7" customFormat="false" ht="15" hidden="false" customHeight="false" outlineLevel="0" collapsed="false">
      <c r="A7" s="18" t="s">
        <v>61</v>
      </c>
      <c r="B7" s="18" t="n">
        <v>1</v>
      </c>
      <c r="C7" s="18" t="s">
        <v>312</v>
      </c>
      <c r="D7" s="18"/>
      <c r="E7" s="18"/>
      <c r="F7" s="18"/>
      <c r="G7" s="18" t="str">
        <f aca="false">IF(COUNT(D7:F7)=3,SUM(D7:F7),"")</f>
        <v/>
      </c>
      <c r="H7" s="9"/>
    </row>
    <row r="8" customFormat="false" ht="15" hidden="false" customHeight="false" outlineLevel="0" collapsed="false">
      <c r="A8" s="18" t="s">
        <v>61</v>
      </c>
      <c r="B8" s="18" t="n">
        <v>1</v>
      </c>
      <c r="C8" s="18" t="s">
        <v>313</v>
      </c>
      <c r="D8" s="18"/>
      <c r="E8" s="18"/>
      <c r="F8" s="18"/>
      <c r="G8" s="18" t="str">
        <f aca="false">IF(COUNT(D8:F8)=3,SUM(D8:F8),"")</f>
        <v/>
      </c>
      <c r="H8" s="9"/>
    </row>
    <row r="9" customFormat="false" ht="15" hidden="false" customHeight="false" outlineLevel="0" collapsed="false">
      <c r="A9" s="18" t="s">
        <v>61</v>
      </c>
      <c r="B9" s="18" t="n">
        <v>1</v>
      </c>
      <c r="C9" s="18" t="s">
        <v>314</v>
      </c>
      <c r="D9" s="18"/>
      <c r="E9" s="18"/>
      <c r="F9" s="18"/>
      <c r="G9" s="18" t="str">
        <f aca="false">IF(COUNT(D9:F9)=3,SUM(D9:F9),"")</f>
        <v/>
      </c>
      <c r="H9" s="9"/>
    </row>
    <row r="10" customFormat="false" ht="15" hidden="false" customHeight="false" outlineLevel="0" collapsed="false">
      <c r="A10" s="18" t="s">
        <v>66</v>
      </c>
      <c r="B10" s="18" t="n">
        <v>1</v>
      </c>
      <c r="C10" s="18" t="s">
        <v>311</v>
      </c>
      <c r="D10" s="18"/>
      <c r="E10" s="18"/>
      <c r="F10" s="18"/>
      <c r="G10" s="18" t="str">
        <f aca="false">IF(COUNT(D10:F10)=3,SUM(D10:F10),"")</f>
        <v/>
      </c>
      <c r="H10" s="9"/>
    </row>
    <row r="11" customFormat="false" ht="15" hidden="false" customHeight="false" outlineLevel="0" collapsed="false">
      <c r="A11" s="18" t="s">
        <v>66</v>
      </c>
      <c r="B11" s="18" t="n">
        <v>1</v>
      </c>
      <c r="C11" s="18" t="s">
        <v>312</v>
      </c>
      <c r="D11" s="18"/>
      <c r="E11" s="18"/>
      <c r="F11" s="18"/>
      <c r="G11" s="18" t="str">
        <f aca="false">IF(COUNT(D11:F11)=3,SUM(D11:F11),"")</f>
        <v/>
      </c>
      <c r="H11" s="9"/>
    </row>
    <row r="12" customFormat="false" ht="15" hidden="false" customHeight="false" outlineLevel="0" collapsed="false">
      <c r="A12" s="18" t="s">
        <v>66</v>
      </c>
      <c r="B12" s="18" t="n">
        <v>1</v>
      </c>
      <c r="C12" s="18" t="s">
        <v>313</v>
      </c>
      <c r="D12" s="18"/>
      <c r="E12" s="18"/>
      <c r="F12" s="18"/>
      <c r="G12" s="18" t="str">
        <f aca="false">IF(COUNT(D12:F12)=3,SUM(D12:F12),"")</f>
        <v/>
      </c>
      <c r="H12" s="9"/>
    </row>
    <row r="13" customFormat="false" ht="15" hidden="false" customHeight="false" outlineLevel="0" collapsed="false">
      <c r="A13" s="18" t="s">
        <v>66</v>
      </c>
      <c r="B13" s="18" t="n">
        <v>1</v>
      </c>
      <c r="C13" s="18" t="s">
        <v>314</v>
      </c>
      <c r="D13" s="18"/>
      <c r="E13" s="18"/>
      <c r="F13" s="18"/>
      <c r="G13" s="18" t="str">
        <f aca="false">IF(COUNT(D13:F13)=3,SUM(D13:F13),"")</f>
        <v/>
      </c>
      <c r="H13" s="9"/>
    </row>
    <row r="14" customFormat="false" ht="15" hidden="false" customHeight="false" outlineLevel="0" collapsed="false">
      <c r="A14" s="18" t="s">
        <v>70</v>
      </c>
      <c r="B14" s="18" t="n">
        <v>1</v>
      </c>
      <c r="C14" s="18" t="s">
        <v>311</v>
      </c>
      <c r="D14" s="18"/>
      <c r="E14" s="18"/>
      <c r="F14" s="18"/>
      <c r="G14" s="18" t="str">
        <f aca="false">IF(COUNT(D14:F14)=3,SUM(D14:F14),"")</f>
        <v/>
      </c>
      <c r="H14" s="9"/>
    </row>
    <row r="15" customFormat="false" ht="15" hidden="false" customHeight="false" outlineLevel="0" collapsed="false">
      <c r="A15" s="18" t="s">
        <v>70</v>
      </c>
      <c r="B15" s="18" t="n">
        <v>1</v>
      </c>
      <c r="C15" s="18" t="s">
        <v>312</v>
      </c>
      <c r="D15" s="18"/>
      <c r="E15" s="18"/>
      <c r="F15" s="18"/>
      <c r="G15" s="18" t="str">
        <f aca="false">IF(COUNT(D15:F15)=3,SUM(D15:F15),"")</f>
        <v/>
      </c>
      <c r="H15" s="9"/>
    </row>
    <row r="16" customFormat="false" ht="15" hidden="false" customHeight="false" outlineLevel="0" collapsed="false">
      <c r="A16" s="18" t="s">
        <v>70</v>
      </c>
      <c r="B16" s="18" t="n">
        <v>1</v>
      </c>
      <c r="C16" s="18" t="s">
        <v>313</v>
      </c>
      <c r="D16" s="18"/>
      <c r="E16" s="18"/>
      <c r="F16" s="18"/>
      <c r="G16" s="18" t="str">
        <f aca="false">IF(COUNT(D16:F16)=3,SUM(D16:F16),"")</f>
        <v/>
      </c>
      <c r="H16" s="9"/>
    </row>
    <row r="17" customFormat="false" ht="15" hidden="false" customHeight="false" outlineLevel="0" collapsed="false">
      <c r="A17" s="18" t="s">
        <v>70</v>
      </c>
      <c r="B17" s="18" t="n">
        <v>1</v>
      </c>
      <c r="C17" s="18" t="s">
        <v>314</v>
      </c>
      <c r="D17" s="18"/>
      <c r="E17" s="18"/>
      <c r="F17" s="18"/>
      <c r="G17" s="18" t="str">
        <f aca="false">IF(COUNT(D17:F17)=3,SUM(D17:F17),"")</f>
        <v/>
      </c>
      <c r="H17" s="9"/>
    </row>
    <row r="18" customFormat="false" ht="15" hidden="false" customHeight="false" outlineLevel="0" collapsed="false">
      <c r="A18" s="18" t="s">
        <v>75</v>
      </c>
      <c r="B18" s="18" t="n">
        <v>1</v>
      </c>
      <c r="C18" s="18" t="s">
        <v>311</v>
      </c>
      <c r="D18" s="18"/>
      <c r="E18" s="18"/>
      <c r="F18" s="18"/>
      <c r="G18" s="18" t="str">
        <f aca="false">IF(COUNT(D18:F18)=3,SUM(D18:F18),"")</f>
        <v/>
      </c>
      <c r="H18" s="9"/>
    </row>
    <row r="19" customFormat="false" ht="15" hidden="false" customHeight="false" outlineLevel="0" collapsed="false">
      <c r="A19" s="18" t="s">
        <v>75</v>
      </c>
      <c r="B19" s="18" t="n">
        <v>1</v>
      </c>
      <c r="C19" s="18" t="s">
        <v>312</v>
      </c>
      <c r="D19" s="18"/>
      <c r="E19" s="18"/>
      <c r="F19" s="18"/>
      <c r="G19" s="18" t="str">
        <f aca="false">IF(COUNT(D19:F19)=3,SUM(D19:F19),"")</f>
        <v/>
      </c>
      <c r="H19" s="9"/>
    </row>
    <row r="20" customFormat="false" ht="15" hidden="false" customHeight="false" outlineLevel="0" collapsed="false">
      <c r="A20" s="18" t="s">
        <v>75</v>
      </c>
      <c r="B20" s="18" t="n">
        <v>1</v>
      </c>
      <c r="C20" s="18" t="s">
        <v>313</v>
      </c>
      <c r="D20" s="18"/>
      <c r="E20" s="18"/>
      <c r="F20" s="18"/>
      <c r="G20" s="18" t="str">
        <f aca="false">IF(COUNT(D20:F20)=3,SUM(D20:F20),"")</f>
        <v/>
      </c>
      <c r="H20" s="9"/>
    </row>
    <row r="21" customFormat="false" ht="15" hidden="false" customHeight="false" outlineLevel="0" collapsed="false">
      <c r="A21" s="18" t="s">
        <v>75</v>
      </c>
      <c r="B21" s="18" t="n">
        <v>1</v>
      </c>
      <c r="C21" s="18" t="s">
        <v>314</v>
      </c>
      <c r="D21" s="18"/>
      <c r="E21" s="18"/>
      <c r="F21" s="18"/>
      <c r="G21" s="18" t="str">
        <f aca="false">IF(COUNT(D21:F21)=3,SUM(D21:F21),"")</f>
        <v/>
      </c>
      <c r="H21" s="9"/>
    </row>
    <row r="22" customFormat="false" ht="15" hidden="false" customHeight="false" outlineLevel="0" collapsed="false">
      <c r="A22" s="18" t="s">
        <v>80</v>
      </c>
      <c r="B22" s="18" t="n">
        <v>1</v>
      </c>
      <c r="C22" s="18" t="s">
        <v>311</v>
      </c>
      <c r="D22" s="18"/>
      <c r="E22" s="18"/>
      <c r="F22" s="18"/>
      <c r="G22" s="18" t="str">
        <f aca="false">IF(COUNT(D22:F22)=3,SUM(D22:F22),"")</f>
        <v/>
      </c>
      <c r="H22" s="9"/>
    </row>
    <row r="23" customFormat="false" ht="15" hidden="false" customHeight="false" outlineLevel="0" collapsed="false">
      <c r="A23" s="18" t="s">
        <v>80</v>
      </c>
      <c r="B23" s="18" t="n">
        <v>1</v>
      </c>
      <c r="C23" s="18" t="s">
        <v>312</v>
      </c>
      <c r="D23" s="18"/>
      <c r="E23" s="18"/>
      <c r="F23" s="18"/>
      <c r="G23" s="18" t="str">
        <f aca="false">IF(COUNT(D23:F23)=3,SUM(D23:F23),"")</f>
        <v/>
      </c>
      <c r="H23" s="9"/>
    </row>
    <row r="24" customFormat="false" ht="15" hidden="false" customHeight="false" outlineLevel="0" collapsed="false">
      <c r="A24" s="18" t="s">
        <v>80</v>
      </c>
      <c r="B24" s="18" t="n">
        <v>1</v>
      </c>
      <c r="C24" s="18" t="s">
        <v>313</v>
      </c>
      <c r="D24" s="18"/>
      <c r="E24" s="18"/>
      <c r="F24" s="18"/>
      <c r="G24" s="18" t="str">
        <f aca="false">IF(COUNT(D24:F24)=3,SUM(D24:F24),"")</f>
        <v/>
      </c>
      <c r="H24" s="9"/>
    </row>
    <row r="25" customFormat="false" ht="15" hidden="false" customHeight="false" outlineLevel="0" collapsed="false">
      <c r="A25" s="18" t="s">
        <v>80</v>
      </c>
      <c r="B25" s="18" t="n">
        <v>1</v>
      </c>
      <c r="C25" s="18" t="s">
        <v>314</v>
      </c>
      <c r="D25" s="18"/>
      <c r="E25" s="18"/>
      <c r="F25" s="18"/>
      <c r="G25" s="18" t="str">
        <f aca="false">IF(COUNT(D25:F25)=3,SUM(D25:F25),"")</f>
        <v/>
      </c>
      <c r="H25" s="9"/>
    </row>
    <row r="26" customFormat="false" ht="15" hidden="false" customHeight="false" outlineLevel="0" collapsed="false">
      <c r="A26" s="18" t="s">
        <v>85</v>
      </c>
      <c r="B26" s="18" t="n">
        <v>1</v>
      </c>
      <c r="C26" s="18" t="s">
        <v>311</v>
      </c>
      <c r="D26" s="18"/>
      <c r="E26" s="18"/>
      <c r="F26" s="18"/>
      <c r="G26" s="18" t="str">
        <f aca="false">IF(COUNT(D26:F26)=3,SUM(D26:F26),"")</f>
        <v/>
      </c>
      <c r="H26" s="9"/>
    </row>
    <row r="27" customFormat="false" ht="15" hidden="false" customHeight="false" outlineLevel="0" collapsed="false">
      <c r="A27" s="18" t="s">
        <v>85</v>
      </c>
      <c r="B27" s="18" t="n">
        <v>1</v>
      </c>
      <c r="C27" s="18" t="s">
        <v>312</v>
      </c>
      <c r="D27" s="18"/>
      <c r="E27" s="18"/>
      <c r="F27" s="18"/>
      <c r="G27" s="18" t="str">
        <f aca="false">IF(COUNT(D27:F27)=3,SUM(D27:F27),"")</f>
        <v/>
      </c>
      <c r="H27" s="9"/>
    </row>
    <row r="28" customFormat="false" ht="15" hidden="false" customHeight="false" outlineLevel="0" collapsed="false">
      <c r="A28" s="18" t="s">
        <v>85</v>
      </c>
      <c r="B28" s="18" t="n">
        <v>1</v>
      </c>
      <c r="C28" s="18" t="s">
        <v>313</v>
      </c>
      <c r="D28" s="18"/>
      <c r="E28" s="18"/>
      <c r="F28" s="18"/>
      <c r="G28" s="18" t="str">
        <f aca="false">IF(COUNT(D28:F28)=3,SUM(D28:F28),"")</f>
        <v/>
      </c>
      <c r="H28" s="9"/>
    </row>
    <row r="29" customFormat="false" ht="15" hidden="false" customHeight="false" outlineLevel="0" collapsed="false">
      <c r="A29" s="18" t="s">
        <v>85</v>
      </c>
      <c r="B29" s="18" t="n">
        <v>1</v>
      </c>
      <c r="C29" s="18" t="s">
        <v>314</v>
      </c>
      <c r="D29" s="18"/>
      <c r="E29" s="18"/>
      <c r="F29" s="18"/>
      <c r="G29" s="18" t="str">
        <f aca="false">IF(COUNT(D29:F29)=3,SUM(D29:F29),"")</f>
        <v/>
      </c>
      <c r="H29" s="9"/>
    </row>
    <row r="30" customFormat="false" ht="15" hidden="false" customHeight="false" outlineLevel="0" collapsed="false">
      <c r="A30" s="18" t="s">
        <v>89</v>
      </c>
      <c r="B30" s="18" t="n">
        <v>1</v>
      </c>
      <c r="C30" s="18" t="s">
        <v>311</v>
      </c>
      <c r="D30" s="18"/>
      <c r="E30" s="18"/>
      <c r="F30" s="18"/>
      <c r="G30" s="18" t="str">
        <f aca="false">IF(COUNT(D30:F30)=3,SUM(D30:F30),"")</f>
        <v/>
      </c>
      <c r="H30" s="9"/>
    </row>
    <row r="31" customFormat="false" ht="15" hidden="false" customHeight="false" outlineLevel="0" collapsed="false">
      <c r="A31" s="18" t="s">
        <v>89</v>
      </c>
      <c r="B31" s="18" t="n">
        <v>1</v>
      </c>
      <c r="C31" s="18" t="s">
        <v>312</v>
      </c>
      <c r="D31" s="18"/>
      <c r="E31" s="18"/>
      <c r="F31" s="18"/>
      <c r="G31" s="18" t="str">
        <f aca="false">IF(COUNT(D31:F31)=3,SUM(D31:F31),"")</f>
        <v/>
      </c>
      <c r="H31" s="9"/>
    </row>
    <row r="32" customFormat="false" ht="15" hidden="false" customHeight="false" outlineLevel="0" collapsed="false">
      <c r="A32" s="18" t="s">
        <v>89</v>
      </c>
      <c r="B32" s="18" t="n">
        <v>1</v>
      </c>
      <c r="C32" s="18" t="s">
        <v>313</v>
      </c>
      <c r="D32" s="18"/>
      <c r="E32" s="18"/>
      <c r="F32" s="18"/>
      <c r="G32" s="18" t="str">
        <f aca="false">IF(COUNT(D32:F32)=3,SUM(D32:F32),"")</f>
        <v/>
      </c>
      <c r="H32" s="9"/>
    </row>
    <row r="33" customFormat="false" ht="15" hidden="false" customHeight="false" outlineLevel="0" collapsed="false">
      <c r="A33" s="18" t="s">
        <v>89</v>
      </c>
      <c r="B33" s="18" t="n">
        <v>1</v>
      </c>
      <c r="C33" s="18" t="s">
        <v>314</v>
      </c>
      <c r="D33" s="18"/>
      <c r="E33" s="18"/>
      <c r="F33" s="18"/>
      <c r="G33" s="18" t="str">
        <f aca="false">IF(COUNT(D33:F33)=3,SUM(D33:F33),"")</f>
        <v/>
      </c>
      <c r="H33" s="9"/>
    </row>
    <row r="34" customFormat="false" ht="15" hidden="false" customHeight="false" outlineLevel="0" collapsed="false">
      <c r="A34" s="18" t="s">
        <v>94</v>
      </c>
      <c r="B34" s="18" t="n">
        <v>1</v>
      </c>
      <c r="C34" s="18" t="s">
        <v>311</v>
      </c>
      <c r="D34" s="18"/>
      <c r="E34" s="18"/>
      <c r="F34" s="18"/>
      <c r="G34" s="18" t="str">
        <f aca="false">IF(COUNT(D34:F34)=3,SUM(D34:F34),"")</f>
        <v/>
      </c>
      <c r="H34" s="9"/>
    </row>
    <row r="35" customFormat="false" ht="15" hidden="false" customHeight="false" outlineLevel="0" collapsed="false">
      <c r="A35" s="18" t="s">
        <v>94</v>
      </c>
      <c r="B35" s="18" t="n">
        <v>1</v>
      </c>
      <c r="C35" s="18" t="s">
        <v>312</v>
      </c>
      <c r="D35" s="18"/>
      <c r="E35" s="18"/>
      <c r="F35" s="18"/>
      <c r="G35" s="18" t="str">
        <f aca="false">IF(COUNT(D35:F35)=3,SUM(D35:F35),"")</f>
        <v/>
      </c>
      <c r="H35" s="9"/>
    </row>
    <row r="36" customFormat="false" ht="15" hidden="false" customHeight="false" outlineLevel="0" collapsed="false">
      <c r="A36" s="18" t="s">
        <v>94</v>
      </c>
      <c r="B36" s="18" t="n">
        <v>1</v>
      </c>
      <c r="C36" s="18" t="s">
        <v>313</v>
      </c>
      <c r="D36" s="18"/>
      <c r="E36" s="18"/>
      <c r="F36" s="18"/>
      <c r="G36" s="18" t="str">
        <f aca="false">IF(COUNT(D36:F36)=3,SUM(D36:F36),"")</f>
        <v/>
      </c>
      <c r="H36" s="9"/>
    </row>
    <row r="37" customFormat="false" ht="15" hidden="false" customHeight="false" outlineLevel="0" collapsed="false">
      <c r="A37" s="18" t="s">
        <v>94</v>
      </c>
      <c r="B37" s="18" t="n">
        <v>1</v>
      </c>
      <c r="C37" s="18" t="s">
        <v>314</v>
      </c>
      <c r="D37" s="18"/>
      <c r="E37" s="18"/>
      <c r="F37" s="18"/>
      <c r="G37" s="18" t="str">
        <f aca="false">IF(COUNT(D37:F37)=3,SUM(D37:F37),"")</f>
        <v/>
      </c>
      <c r="H37" s="9"/>
    </row>
    <row r="38" customFormat="false" ht="15" hidden="false" customHeight="false" outlineLevel="0" collapsed="false">
      <c r="A38" s="18" t="s">
        <v>98</v>
      </c>
      <c r="B38" s="18" t="n">
        <v>1</v>
      </c>
      <c r="C38" s="18" t="s">
        <v>311</v>
      </c>
      <c r="D38" s="18"/>
      <c r="E38" s="18"/>
      <c r="F38" s="18"/>
      <c r="G38" s="18" t="str">
        <f aca="false">IF(COUNT(D38:F38)=3,SUM(D38:F38),"")</f>
        <v/>
      </c>
      <c r="H38" s="9"/>
    </row>
    <row r="39" customFormat="false" ht="15" hidden="false" customHeight="false" outlineLevel="0" collapsed="false">
      <c r="A39" s="18" t="s">
        <v>98</v>
      </c>
      <c r="B39" s="18" t="n">
        <v>1</v>
      </c>
      <c r="C39" s="18" t="s">
        <v>312</v>
      </c>
      <c r="D39" s="18"/>
      <c r="E39" s="18"/>
      <c r="F39" s="18"/>
      <c r="G39" s="18" t="str">
        <f aca="false">IF(COUNT(D39:F39)=3,SUM(D39:F39),"")</f>
        <v/>
      </c>
      <c r="H39" s="9"/>
    </row>
    <row r="40" customFormat="false" ht="15" hidden="false" customHeight="false" outlineLevel="0" collapsed="false">
      <c r="A40" s="18" t="s">
        <v>98</v>
      </c>
      <c r="B40" s="18" t="n">
        <v>1</v>
      </c>
      <c r="C40" s="18" t="s">
        <v>313</v>
      </c>
      <c r="D40" s="18"/>
      <c r="E40" s="18"/>
      <c r="F40" s="18"/>
      <c r="G40" s="18" t="str">
        <f aca="false">IF(COUNT(D40:F40)=3,SUM(D40:F40),"")</f>
        <v/>
      </c>
      <c r="H40" s="9"/>
    </row>
    <row r="41" customFormat="false" ht="15" hidden="false" customHeight="false" outlineLevel="0" collapsed="false">
      <c r="A41" s="18" t="s">
        <v>98</v>
      </c>
      <c r="B41" s="18" t="n">
        <v>1</v>
      </c>
      <c r="C41" s="18" t="s">
        <v>314</v>
      </c>
      <c r="D41" s="18"/>
      <c r="E41" s="18"/>
      <c r="F41" s="18"/>
      <c r="G41" s="18" t="str">
        <f aca="false">IF(COUNT(D41:F41)=3,SUM(D41:F41),"")</f>
        <v/>
      </c>
      <c r="H41" s="9"/>
    </row>
    <row r="42" customFormat="false" ht="15" hidden="false" customHeight="false" outlineLevel="0" collapsed="false">
      <c r="A42" s="18" t="s">
        <v>103</v>
      </c>
      <c r="B42" s="18" t="n">
        <v>2</v>
      </c>
      <c r="C42" s="18" t="s">
        <v>311</v>
      </c>
      <c r="D42" s="18"/>
      <c r="E42" s="18"/>
      <c r="F42" s="18"/>
      <c r="G42" s="18" t="str">
        <f aca="false">IF(COUNT(D42:F42)=3,SUM(D42:F42),"")</f>
        <v/>
      </c>
      <c r="H42" s="9"/>
    </row>
    <row r="43" customFormat="false" ht="15" hidden="false" customHeight="false" outlineLevel="0" collapsed="false">
      <c r="A43" s="18" t="s">
        <v>103</v>
      </c>
      <c r="B43" s="18" t="n">
        <v>2</v>
      </c>
      <c r="C43" s="18" t="s">
        <v>312</v>
      </c>
      <c r="D43" s="18"/>
      <c r="E43" s="18"/>
      <c r="F43" s="18"/>
      <c r="G43" s="18" t="str">
        <f aca="false">IF(COUNT(D43:F43)=3,SUM(D43:F43),"")</f>
        <v/>
      </c>
      <c r="H43" s="9"/>
    </row>
    <row r="44" customFormat="false" ht="15" hidden="false" customHeight="false" outlineLevel="0" collapsed="false">
      <c r="A44" s="18" t="s">
        <v>103</v>
      </c>
      <c r="B44" s="18" t="n">
        <v>2</v>
      </c>
      <c r="C44" s="18" t="s">
        <v>313</v>
      </c>
      <c r="D44" s="18"/>
      <c r="E44" s="18"/>
      <c r="F44" s="18"/>
      <c r="G44" s="18" t="str">
        <f aca="false">IF(COUNT(D44:F44)=3,SUM(D44:F44),"")</f>
        <v/>
      </c>
      <c r="H44" s="9"/>
    </row>
    <row r="45" customFormat="false" ht="15" hidden="false" customHeight="false" outlineLevel="0" collapsed="false">
      <c r="A45" s="18" t="s">
        <v>103</v>
      </c>
      <c r="B45" s="18" t="n">
        <v>2</v>
      </c>
      <c r="C45" s="18" t="s">
        <v>314</v>
      </c>
      <c r="D45" s="18"/>
      <c r="E45" s="18"/>
      <c r="F45" s="18"/>
      <c r="G45" s="18" t="str">
        <f aca="false">IF(COUNT(D45:F45)=3,SUM(D45:F45),"")</f>
        <v/>
      </c>
      <c r="H45" s="9"/>
    </row>
    <row r="46" customFormat="false" ht="15" hidden="false" customHeight="false" outlineLevel="0" collapsed="false">
      <c r="A46" s="18" t="s">
        <v>108</v>
      </c>
      <c r="B46" s="18" t="n">
        <v>2</v>
      </c>
      <c r="C46" s="18" t="s">
        <v>311</v>
      </c>
      <c r="D46" s="18"/>
      <c r="E46" s="18"/>
      <c r="F46" s="18"/>
      <c r="G46" s="18" t="str">
        <f aca="false">IF(COUNT(D46:F46)=3,SUM(D46:F46),"")</f>
        <v/>
      </c>
      <c r="H46" s="9"/>
    </row>
    <row r="47" customFormat="false" ht="15" hidden="false" customHeight="false" outlineLevel="0" collapsed="false">
      <c r="A47" s="18" t="s">
        <v>108</v>
      </c>
      <c r="B47" s="18" t="n">
        <v>2</v>
      </c>
      <c r="C47" s="18" t="s">
        <v>312</v>
      </c>
      <c r="D47" s="18"/>
      <c r="E47" s="18"/>
      <c r="F47" s="18"/>
      <c r="G47" s="18" t="str">
        <f aca="false">IF(COUNT(D47:F47)=3,SUM(D47:F47),"")</f>
        <v/>
      </c>
      <c r="H47" s="9"/>
    </row>
    <row r="48" customFormat="false" ht="15" hidden="false" customHeight="false" outlineLevel="0" collapsed="false">
      <c r="A48" s="18" t="s">
        <v>108</v>
      </c>
      <c r="B48" s="18" t="n">
        <v>2</v>
      </c>
      <c r="C48" s="18" t="s">
        <v>313</v>
      </c>
      <c r="D48" s="18"/>
      <c r="E48" s="18"/>
      <c r="F48" s="18"/>
      <c r="G48" s="18" t="str">
        <f aca="false">IF(COUNT(D48:F48)=3,SUM(D48:F48),"")</f>
        <v/>
      </c>
      <c r="H48" s="9"/>
    </row>
    <row r="49" customFormat="false" ht="15" hidden="false" customHeight="false" outlineLevel="0" collapsed="false">
      <c r="A49" s="18" t="s">
        <v>108</v>
      </c>
      <c r="B49" s="18" t="n">
        <v>2</v>
      </c>
      <c r="C49" s="18" t="s">
        <v>314</v>
      </c>
      <c r="D49" s="18"/>
      <c r="E49" s="18"/>
      <c r="F49" s="18"/>
      <c r="G49" s="18" t="str">
        <f aca="false">IF(COUNT(D49:F49)=3,SUM(D49:F49),"")</f>
        <v/>
      </c>
      <c r="H49" s="9"/>
    </row>
    <row r="50" customFormat="false" ht="15" hidden="false" customHeight="false" outlineLevel="0" collapsed="false">
      <c r="A50" s="18" t="s">
        <v>112</v>
      </c>
      <c r="B50" s="18" t="n">
        <v>2</v>
      </c>
      <c r="C50" s="18" t="s">
        <v>311</v>
      </c>
      <c r="D50" s="18"/>
      <c r="E50" s="18"/>
      <c r="F50" s="18"/>
      <c r="G50" s="18" t="str">
        <f aca="false">IF(COUNT(D50:F50)=3,SUM(D50:F50),"")</f>
        <v/>
      </c>
      <c r="H50" s="9"/>
    </row>
    <row r="51" customFormat="false" ht="15" hidden="false" customHeight="false" outlineLevel="0" collapsed="false">
      <c r="A51" s="18" t="s">
        <v>112</v>
      </c>
      <c r="B51" s="18" t="n">
        <v>2</v>
      </c>
      <c r="C51" s="18" t="s">
        <v>312</v>
      </c>
      <c r="D51" s="18"/>
      <c r="E51" s="18"/>
      <c r="F51" s="18"/>
      <c r="G51" s="18" t="str">
        <f aca="false">IF(COUNT(D51:F51)=3,SUM(D51:F51),"")</f>
        <v/>
      </c>
      <c r="H51" s="9"/>
    </row>
    <row r="52" customFormat="false" ht="15" hidden="false" customHeight="false" outlineLevel="0" collapsed="false">
      <c r="A52" s="18" t="s">
        <v>112</v>
      </c>
      <c r="B52" s="18" t="n">
        <v>2</v>
      </c>
      <c r="C52" s="18" t="s">
        <v>313</v>
      </c>
      <c r="D52" s="18"/>
      <c r="E52" s="18"/>
      <c r="F52" s="18"/>
      <c r="G52" s="18" t="str">
        <f aca="false">IF(COUNT(D52:F52)=3,SUM(D52:F52),"")</f>
        <v/>
      </c>
      <c r="H52" s="9"/>
    </row>
    <row r="53" customFormat="false" ht="15" hidden="false" customHeight="false" outlineLevel="0" collapsed="false">
      <c r="A53" s="18" t="s">
        <v>112</v>
      </c>
      <c r="B53" s="18" t="n">
        <v>2</v>
      </c>
      <c r="C53" s="18" t="s">
        <v>314</v>
      </c>
      <c r="D53" s="18"/>
      <c r="E53" s="18"/>
      <c r="F53" s="18"/>
      <c r="G53" s="18" t="str">
        <f aca="false">IF(COUNT(D53:F53)=3,SUM(D53:F53),"")</f>
        <v/>
      </c>
      <c r="H53" s="9"/>
    </row>
    <row r="54" customFormat="false" ht="15" hidden="false" customHeight="false" outlineLevel="0" collapsed="false">
      <c r="A54" s="18" t="s">
        <v>116</v>
      </c>
      <c r="B54" s="18" t="n">
        <v>2</v>
      </c>
      <c r="C54" s="18" t="s">
        <v>311</v>
      </c>
      <c r="D54" s="18"/>
      <c r="E54" s="18"/>
      <c r="F54" s="18"/>
      <c r="G54" s="18" t="str">
        <f aca="false">IF(COUNT(D54:F54)=3,SUM(D54:F54),"")</f>
        <v/>
      </c>
      <c r="H54" s="9"/>
    </row>
    <row r="55" customFormat="false" ht="15" hidden="false" customHeight="false" outlineLevel="0" collapsed="false">
      <c r="A55" s="18" t="s">
        <v>116</v>
      </c>
      <c r="B55" s="18" t="n">
        <v>2</v>
      </c>
      <c r="C55" s="18" t="s">
        <v>312</v>
      </c>
      <c r="D55" s="18"/>
      <c r="E55" s="18"/>
      <c r="F55" s="18"/>
      <c r="G55" s="18" t="str">
        <f aca="false">IF(COUNT(D55:F55)=3,SUM(D55:F55),"")</f>
        <v/>
      </c>
      <c r="H55" s="9"/>
    </row>
    <row r="56" customFormat="false" ht="15" hidden="false" customHeight="false" outlineLevel="0" collapsed="false">
      <c r="A56" s="18" t="s">
        <v>116</v>
      </c>
      <c r="B56" s="18" t="n">
        <v>2</v>
      </c>
      <c r="C56" s="18" t="s">
        <v>313</v>
      </c>
      <c r="D56" s="18"/>
      <c r="E56" s="18"/>
      <c r="F56" s="18"/>
      <c r="G56" s="18" t="str">
        <f aca="false">IF(COUNT(D56:F56)=3,SUM(D56:F56),"")</f>
        <v/>
      </c>
      <c r="H56" s="9"/>
    </row>
    <row r="57" customFormat="false" ht="15" hidden="false" customHeight="false" outlineLevel="0" collapsed="false">
      <c r="A57" s="18" t="s">
        <v>116</v>
      </c>
      <c r="B57" s="18" t="n">
        <v>2</v>
      </c>
      <c r="C57" s="18" t="s">
        <v>314</v>
      </c>
      <c r="D57" s="18"/>
      <c r="E57" s="18"/>
      <c r="F57" s="18"/>
      <c r="G57" s="18" t="str">
        <f aca="false">IF(COUNT(D57:F57)=3,SUM(D57:F57),"")</f>
        <v/>
      </c>
      <c r="H57" s="9"/>
    </row>
    <row r="58" customFormat="false" ht="15" hidden="false" customHeight="false" outlineLevel="0" collapsed="false">
      <c r="A58" s="18" t="s">
        <v>121</v>
      </c>
      <c r="B58" s="18" t="n">
        <v>2</v>
      </c>
      <c r="C58" s="18" t="s">
        <v>311</v>
      </c>
      <c r="D58" s="18"/>
      <c r="E58" s="18"/>
      <c r="F58" s="18"/>
      <c r="G58" s="18" t="str">
        <f aca="false">IF(COUNT(D58:F58)=3,SUM(D58:F58),"")</f>
        <v/>
      </c>
      <c r="H58" s="9"/>
    </row>
    <row r="59" customFormat="false" ht="15" hidden="false" customHeight="false" outlineLevel="0" collapsed="false">
      <c r="A59" s="18" t="s">
        <v>121</v>
      </c>
      <c r="B59" s="18" t="n">
        <v>2</v>
      </c>
      <c r="C59" s="18" t="s">
        <v>312</v>
      </c>
      <c r="D59" s="18"/>
      <c r="E59" s="18"/>
      <c r="F59" s="18"/>
      <c r="G59" s="18" t="str">
        <f aca="false">IF(COUNT(D59:F59)=3,SUM(D59:F59),"")</f>
        <v/>
      </c>
      <c r="H59" s="9"/>
    </row>
    <row r="60" customFormat="false" ht="15" hidden="false" customHeight="false" outlineLevel="0" collapsed="false">
      <c r="A60" s="18" t="s">
        <v>121</v>
      </c>
      <c r="B60" s="18" t="n">
        <v>2</v>
      </c>
      <c r="C60" s="18" t="s">
        <v>313</v>
      </c>
      <c r="D60" s="18"/>
      <c r="E60" s="18"/>
      <c r="F60" s="18"/>
      <c r="G60" s="18" t="str">
        <f aca="false">IF(COUNT(D60:F60)=3,SUM(D60:F60),"")</f>
        <v/>
      </c>
      <c r="H60" s="9"/>
    </row>
    <row r="61" customFormat="false" ht="15" hidden="false" customHeight="false" outlineLevel="0" collapsed="false">
      <c r="A61" s="18" t="s">
        <v>121</v>
      </c>
      <c r="B61" s="18" t="n">
        <v>2</v>
      </c>
      <c r="C61" s="18" t="s">
        <v>314</v>
      </c>
      <c r="D61" s="18"/>
      <c r="E61" s="18"/>
      <c r="F61" s="18"/>
      <c r="G61" s="18" t="str">
        <f aca="false">IF(COUNT(D61:F61)=3,SUM(D61:F61),"")</f>
        <v/>
      </c>
      <c r="H61" s="9"/>
    </row>
    <row r="62" customFormat="false" ht="15" hidden="false" customHeight="false" outlineLevel="0" collapsed="false">
      <c r="A62" s="18" t="s">
        <v>125</v>
      </c>
      <c r="B62" s="18" t="n">
        <v>2</v>
      </c>
      <c r="C62" s="18" t="s">
        <v>311</v>
      </c>
      <c r="D62" s="18"/>
      <c r="E62" s="18"/>
      <c r="F62" s="18"/>
      <c r="G62" s="18" t="str">
        <f aca="false">IF(COUNT(D62:F62)=3,SUM(D62:F62),"")</f>
        <v/>
      </c>
      <c r="H62" s="9"/>
    </row>
    <row r="63" customFormat="false" ht="15" hidden="false" customHeight="false" outlineLevel="0" collapsed="false">
      <c r="A63" s="18" t="s">
        <v>125</v>
      </c>
      <c r="B63" s="18" t="n">
        <v>2</v>
      </c>
      <c r="C63" s="18" t="s">
        <v>312</v>
      </c>
      <c r="D63" s="18"/>
      <c r="E63" s="18"/>
      <c r="F63" s="18"/>
      <c r="G63" s="18" t="str">
        <f aca="false">IF(COUNT(D63:F63)=3,SUM(D63:F63),"")</f>
        <v/>
      </c>
      <c r="H63" s="9"/>
    </row>
    <row r="64" customFormat="false" ht="15" hidden="false" customHeight="false" outlineLevel="0" collapsed="false">
      <c r="A64" s="18" t="s">
        <v>125</v>
      </c>
      <c r="B64" s="18" t="n">
        <v>2</v>
      </c>
      <c r="C64" s="18" t="s">
        <v>313</v>
      </c>
      <c r="D64" s="18"/>
      <c r="E64" s="18"/>
      <c r="F64" s="18"/>
      <c r="G64" s="18" t="str">
        <f aca="false">IF(COUNT(D64:F64)=3,SUM(D64:F64),"")</f>
        <v/>
      </c>
      <c r="H64" s="9"/>
    </row>
    <row r="65" customFormat="false" ht="15" hidden="false" customHeight="false" outlineLevel="0" collapsed="false">
      <c r="A65" s="18" t="s">
        <v>125</v>
      </c>
      <c r="B65" s="18" t="n">
        <v>2</v>
      </c>
      <c r="C65" s="18" t="s">
        <v>314</v>
      </c>
      <c r="D65" s="18"/>
      <c r="E65" s="18"/>
      <c r="F65" s="18"/>
      <c r="G65" s="18" t="str">
        <f aca="false">IF(COUNT(D65:F65)=3,SUM(D65:F65),"")</f>
        <v/>
      </c>
      <c r="H65" s="9"/>
    </row>
    <row r="66" customFormat="false" ht="15" hidden="false" customHeight="false" outlineLevel="0" collapsed="false">
      <c r="A66" s="18" t="s">
        <v>129</v>
      </c>
      <c r="B66" s="18" t="n">
        <v>2</v>
      </c>
      <c r="C66" s="18" t="s">
        <v>311</v>
      </c>
      <c r="D66" s="18"/>
      <c r="E66" s="18"/>
      <c r="F66" s="18"/>
      <c r="G66" s="18" t="str">
        <f aca="false">IF(COUNT(D66:F66)=3,SUM(D66:F66),"")</f>
        <v/>
      </c>
      <c r="H66" s="9"/>
    </row>
    <row r="67" customFormat="false" ht="15" hidden="false" customHeight="false" outlineLevel="0" collapsed="false">
      <c r="A67" s="18" t="s">
        <v>129</v>
      </c>
      <c r="B67" s="18" t="n">
        <v>2</v>
      </c>
      <c r="C67" s="18" t="s">
        <v>312</v>
      </c>
      <c r="D67" s="18"/>
      <c r="E67" s="18"/>
      <c r="F67" s="18"/>
      <c r="G67" s="18" t="str">
        <f aca="false">IF(COUNT(D67:F67)=3,SUM(D67:F67),"")</f>
        <v/>
      </c>
      <c r="H67" s="9"/>
    </row>
    <row r="68" customFormat="false" ht="15" hidden="false" customHeight="false" outlineLevel="0" collapsed="false">
      <c r="A68" s="18" t="s">
        <v>129</v>
      </c>
      <c r="B68" s="18" t="n">
        <v>2</v>
      </c>
      <c r="C68" s="18" t="s">
        <v>313</v>
      </c>
      <c r="D68" s="18"/>
      <c r="E68" s="18"/>
      <c r="F68" s="18"/>
      <c r="G68" s="18" t="str">
        <f aca="false">IF(COUNT(D68:F68)=3,SUM(D68:F68),"")</f>
        <v/>
      </c>
      <c r="H68" s="9"/>
    </row>
    <row r="69" customFormat="false" ht="15" hidden="false" customHeight="false" outlineLevel="0" collapsed="false">
      <c r="A69" s="18" t="s">
        <v>129</v>
      </c>
      <c r="B69" s="18" t="n">
        <v>2</v>
      </c>
      <c r="C69" s="18" t="s">
        <v>314</v>
      </c>
      <c r="D69" s="18"/>
      <c r="E69" s="18"/>
      <c r="F69" s="18"/>
      <c r="G69" s="18" t="str">
        <f aca="false">IF(COUNT(D69:F69)=3,SUM(D69:F69),"")</f>
        <v/>
      </c>
      <c r="H69" s="9"/>
    </row>
    <row r="70" customFormat="false" ht="15" hidden="false" customHeight="false" outlineLevel="0" collapsed="false">
      <c r="A70" s="18" t="s">
        <v>133</v>
      </c>
      <c r="B70" s="18" t="n">
        <v>2</v>
      </c>
      <c r="C70" s="18" t="s">
        <v>311</v>
      </c>
      <c r="D70" s="18"/>
      <c r="E70" s="18"/>
      <c r="F70" s="18"/>
      <c r="G70" s="18" t="str">
        <f aca="false">IF(COUNT(D70:F70)=3,SUM(D70:F70),"")</f>
        <v/>
      </c>
      <c r="H70" s="9"/>
    </row>
    <row r="71" customFormat="false" ht="15" hidden="false" customHeight="false" outlineLevel="0" collapsed="false">
      <c r="A71" s="18" t="s">
        <v>133</v>
      </c>
      <c r="B71" s="18" t="n">
        <v>2</v>
      </c>
      <c r="C71" s="18" t="s">
        <v>312</v>
      </c>
      <c r="D71" s="18"/>
      <c r="E71" s="18"/>
      <c r="F71" s="18"/>
      <c r="G71" s="18" t="str">
        <f aca="false">IF(COUNT(D71:F71)=3,SUM(D71:F71),"")</f>
        <v/>
      </c>
      <c r="H71" s="9"/>
    </row>
    <row r="72" customFormat="false" ht="15" hidden="false" customHeight="false" outlineLevel="0" collapsed="false">
      <c r="A72" s="18" t="s">
        <v>133</v>
      </c>
      <c r="B72" s="18" t="n">
        <v>2</v>
      </c>
      <c r="C72" s="18" t="s">
        <v>313</v>
      </c>
      <c r="D72" s="18"/>
      <c r="E72" s="18"/>
      <c r="F72" s="18"/>
      <c r="G72" s="18" t="str">
        <f aca="false">IF(COUNT(D72:F72)=3,SUM(D72:F72),"")</f>
        <v/>
      </c>
      <c r="H72" s="9"/>
    </row>
    <row r="73" customFormat="false" ht="15" hidden="false" customHeight="false" outlineLevel="0" collapsed="false">
      <c r="A73" s="18" t="s">
        <v>133</v>
      </c>
      <c r="B73" s="18" t="n">
        <v>2</v>
      </c>
      <c r="C73" s="18" t="s">
        <v>314</v>
      </c>
      <c r="D73" s="18"/>
      <c r="E73" s="18"/>
      <c r="F73" s="18"/>
      <c r="G73" s="18" t="str">
        <f aca="false">IF(COUNT(D73:F73)=3,SUM(D73:F73),"")</f>
        <v/>
      </c>
      <c r="H73" s="9"/>
    </row>
    <row r="74" customFormat="false" ht="15" hidden="false" customHeight="false" outlineLevel="0" collapsed="false">
      <c r="A74" s="18" t="s">
        <v>137</v>
      </c>
      <c r="B74" s="18" t="n">
        <v>2</v>
      </c>
      <c r="C74" s="18" t="s">
        <v>311</v>
      </c>
      <c r="D74" s="18"/>
      <c r="E74" s="18"/>
      <c r="F74" s="18"/>
      <c r="G74" s="18" t="str">
        <f aca="false">IF(COUNT(D74:F74)=3,SUM(D74:F74),"")</f>
        <v/>
      </c>
      <c r="H74" s="9"/>
    </row>
    <row r="75" customFormat="false" ht="15" hidden="false" customHeight="false" outlineLevel="0" collapsed="false">
      <c r="A75" s="18" t="s">
        <v>137</v>
      </c>
      <c r="B75" s="18" t="n">
        <v>2</v>
      </c>
      <c r="C75" s="18" t="s">
        <v>312</v>
      </c>
      <c r="D75" s="18"/>
      <c r="E75" s="18"/>
      <c r="F75" s="18"/>
      <c r="G75" s="18" t="str">
        <f aca="false">IF(COUNT(D75:F75)=3,SUM(D75:F75),"")</f>
        <v/>
      </c>
      <c r="H75" s="9"/>
    </row>
    <row r="76" customFormat="false" ht="15" hidden="false" customHeight="false" outlineLevel="0" collapsed="false">
      <c r="A76" s="18" t="s">
        <v>137</v>
      </c>
      <c r="B76" s="18" t="n">
        <v>2</v>
      </c>
      <c r="C76" s="18" t="s">
        <v>313</v>
      </c>
      <c r="D76" s="18"/>
      <c r="E76" s="18"/>
      <c r="F76" s="18"/>
      <c r="G76" s="18" t="str">
        <f aca="false">IF(COUNT(D76:F76)=3,SUM(D76:F76),"")</f>
        <v/>
      </c>
      <c r="H76" s="9"/>
    </row>
    <row r="77" customFormat="false" ht="15" hidden="false" customHeight="false" outlineLevel="0" collapsed="false">
      <c r="A77" s="18" t="s">
        <v>137</v>
      </c>
      <c r="B77" s="18" t="n">
        <v>2</v>
      </c>
      <c r="C77" s="18" t="s">
        <v>314</v>
      </c>
      <c r="D77" s="18"/>
      <c r="E77" s="18"/>
      <c r="F77" s="18"/>
      <c r="G77" s="18" t="str">
        <f aca="false">IF(COUNT(D77:F77)=3,SUM(D77:F77),"")</f>
        <v/>
      </c>
      <c r="H77" s="9"/>
    </row>
    <row r="78" customFormat="false" ht="15" hidden="false" customHeight="false" outlineLevel="0" collapsed="false">
      <c r="A78" s="18" t="s">
        <v>141</v>
      </c>
      <c r="B78" s="18" t="n">
        <v>2</v>
      </c>
      <c r="C78" s="18" t="s">
        <v>311</v>
      </c>
      <c r="D78" s="18"/>
      <c r="E78" s="18"/>
      <c r="F78" s="18"/>
      <c r="G78" s="18" t="str">
        <f aca="false">IF(COUNT(D78:F78)=3,SUM(D78:F78),"")</f>
        <v/>
      </c>
      <c r="H78" s="9"/>
    </row>
    <row r="79" customFormat="false" ht="15" hidden="false" customHeight="false" outlineLevel="0" collapsed="false">
      <c r="A79" s="18" t="s">
        <v>141</v>
      </c>
      <c r="B79" s="18" t="n">
        <v>2</v>
      </c>
      <c r="C79" s="18" t="s">
        <v>312</v>
      </c>
      <c r="D79" s="18"/>
      <c r="E79" s="18"/>
      <c r="F79" s="18"/>
      <c r="G79" s="18" t="str">
        <f aca="false">IF(COUNT(D79:F79)=3,SUM(D79:F79),"")</f>
        <v/>
      </c>
      <c r="H79" s="9"/>
    </row>
    <row r="80" customFormat="false" ht="15" hidden="false" customHeight="false" outlineLevel="0" collapsed="false">
      <c r="A80" s="18" t="s">
        <v>141</v>
      </c>
      <c r="B80" s="18" t="n">
        <v>2</v>
      </c>
      <c r="C80" s="18" t="s">
        <v>313</v>
      </c>
      <c r="D80" s="18"/>
      <c r="E80" s="18"/>
      <c r="F80" s="18"/>
      <c r="G80" s="18" t="str">
        <f aca="false">IF(COUNT(D80:F80)=3,SUM(D80:F80),"")</f>
        <v/>
      </c>
      <c r="H80" s="9"/>
    </row>
    <row r="81" customFormat="false" ht="15" hidden="false" customHeight="false" outlineLevel="0" collapsed="false">
      <c r="A81" s="18" t="s">
        <v>141</v>
      </c>
      <c r="B81" s="18" t="n">
        <v>2</v>
      </c>
      <c r="C81" s="18" t="s">
        <v>314</v>
      </c>
      <c r="D81" s="18"/>
      <c r="E81" s="18"/>
      <c r="F81" s="18"/>
      <c r="G81" s="18" t="str">
        <f aca="false">IF(COUNT(D81:F81)=3,SUM(D81:F81),"")</f>
        <v/>
      </c>
      <c r="H81" s="9"/>
    </row>
    <row r="82" customFormat="false" ht="15" hidden="false" customHeight="false" outlineLevel="0" collapsed="false">
      <c r="A82" s="18" t="s">
        <v>145</v>
      </c>
      <c r="B82" s="18" t="n">
        <v>3</v>
      </c>
      <c r="C82" s="18" t="s">
        <v>311</v>
      </c>
      <c r="D82" s="18"/>
      <c r="E82" s="18"/>
      <c r="F82" s="18"/>
      <c r="G82" s="18" t="str">
        <f aca="false">IF(COUNT(D82:F82)=3,SUM(D82:F82),"")</f>
        <v/>
      </c>
      <c r="H82" s="9"/>
    </row>
    <row r="83" customFormat="false" ht="15" hidden="false" customHeight="false" outlineLevel="0" collapsed="false">
      <c r="A83" s="18" t="s">
        <v>145</v>
      </c>
      <c r="B83" s="18" t="n">
        <v>3</v>
      </c>
      <c r="C83" s="18" t="s">
        <v>312</v>
      </c>
      <c r="D83" s="18"/>
      <c r="E83" s="18"/>
      <c r="F83" s="18"/>
      <c r="G83" s="18" t="str">
        <f aca="false">IF(COUNT(D83:F83)=3,SUM(D83:F83),"")</f>
        <v/>
      </c>
      <c r="H83" s="9"/>
    </row>
    <row r="84" customFormat="false" ht="15" hidden="false" customHeight="false" outlineLevel="0" collapsed="false">
      <c r="A84" s="18" t="s">
        <v>145</v>
      </c>
      <c r="B84" s="18" t="n">
        <v>3</v>
      </c>
      <c r="C84" s="18" t="s">
        <v>313</v>
      </c>
      <c r="D84" s="18"/>
      <c r="E84" s="18"/>
      <c r="F84" s="18"/>
      <c r="G84" s="18" t="str">
        <f aca="false">IF(COUNT(D84:F84)=3,SUM(D84:F84),"")</f>
        <v/>
      </c>
      <c r="H84" s="9"/>
    </row>
    <row r="85" customFormat="false" ht="15" hidden="false" customHeight="false" outlineLevel="0" collapsed="false">
      <c r="A85" s="18" t="s">
        <v>145</v>
      </c>
      <c r="B85" s="18" t="n">
        <v>3</v>
      </c>
      <c r="C85" s="18" t="s">
        <v>314</v>
      </c>
      <c r="D85" s="18"/>
      <c r="E85" s="18"/>
      <c r="F85" s="18"/>
      <c r="G85" s="18" t="str">
        <f aca="false">IF(COUNT(D85:F85)=3,SUM(D85:F85),"")</f>
        <v/>
      </c>
      <c r="H85" s="9"/>
    </row>
    <row r="86" customFormat="false" ht="15" hidden="false" customHeight="false" outlineLevel="0" collapsed="false">
      <c r="A86" s="18" t="s">
        <v>150</v>
      </c>
      <c r="B86" s="18" t="n">
        <v>3</v>
      </c>
      <c r="C86" s="18" t="s">
        <v>311</v>
      </c>
      <c r="D86" s="18"/>
      <c r="E86" s="18"/>
      <c r="F86" s="18"/>
      <c r="G86" s="18" t="str">
        <f aca="false">IF(COUNT(D86:F86)=3,SUM(D86:F86),"")</f>
        <v/>
      </c>
      <c r="H86" s="9"/>
    </row>
    <row r="87" customFormat="false" ht="15" hidden="false" customHeight="false" outlineLevel="0" collapsed="false">
      <c r="A87" s="18" t="s">
        <v>150</v>
      </c>
      <c r="B87" s="18" t="n">
        <v>3</v>
      </c>
      <c r="C87" s="18" t="s">
        <v>312</v>
      </c>
      <c r="D87" s="18"/>
      <c r="E87" s="18"/>
      <c r="F87" s="18"/>
      <c r="G87" s="18" t="str">
        <f aca="false">IF(COUNT(D87:F87)=3,SUM(D87:F87),"")</f>
        <v/>
      </c>
      <c r="H87" s="9"/>
    </row>
    <row r="88" customFormat="false" ht="15" hidden="false" customHeight="false" outlineLevel="0" collapsed="false">
      <c r="A88" s="18" t="s">
        <v>150</v>
      </c>
      <c r="B88" s="18" t="n">
        <v>3</v>
      </c>
      <c r="C88" s="18" t="s">
        <v>313</v>
      </c>
      <c r="D88" s="18"/>
      <c r="E88" s="18"/>
      <c r="F88" s="18"/>
      <c r="G88" s="18" t="str">
        <f aca="false">IF(COUNT(D88:F88)=3,SUM(D88:F88),"")</f>
        <v/>
      </c>
      <c r="H88" s="9"/>
    </row>
    <row r="89" customFormat="false" ht="15" hidden="false" customHeight="false" outlineLevel="0" collapsed="false">
      <c r="A89" s="18" t="s">
        <v>150</v>
      </c>
      <c r="B89" s="18" t="n">
        <v>3</v>
      </c>
      <c r="C89" s="18" t="s">
        <v>314</v>
      </c>
      <c r="D89" s="18"/>
      <c r="E89" s="18"/>
      <c r="F89" s="18"/>
      <c r="G89" s="18" t="str">
        <f aca="false">IF(COUNT(D89:F89)=3,SUM(D89:F89),"")</f>
        <v/>
      </c>
      <c r="H89" s="9"/>
    </row>
    <row r="90" customFormat="false" ht="15" hidden="false" customHeight="false" outlineLevel="0" collapsed="false">
      <c r="A90" s="18" t="s">
        <v>154</v>
      </c>
      <c r="B90" s="18" t="n">
        <v>3</v>
      </c>
      <c r="C90" s="18" t="s">
        <v>311</v>
      </c>
      <c r="D90" s="18"/>
      <c r="E90" s="18"/>
      <c r="F90" s="18"/>
      <c r="G90" s="18" t="str">
        <f aca="false">IF(COUNT(D90:F90)=3,SUM(D90:F90),"")</f>
        <v/>
      </c>
      <c r="H90" s="9"/>
    </row>
    <row r="91" customFormat="false" ht="15" hidden="false" customHeight="false" outlineLevel="0" collapsed="false">
      <c r="A91" s="18" t="s">
        <v>154</v>
      </c>
      <c r="B91" s="18" t="n">
        <v>3</v>
      </c>
      <c r="C91" s="18" t="s">
        <v>312</v>
      </c>
      <c r="D91" s="18"/>
      <c r="E91" s="18"/>
      <c r="F91" s="18"/>
      <c r="G91" s="18" t="str">
        <f aca="false">IF(COUNT(D91:F91)=3,SUM(D91:F91),"")</f>
        <v/>
      </c>
      <c r="H91" s="9"/>
    </row>
    <row r="92" customFormat="false" ht="15" hidden="false" customHeight="false" outlineLevel="0" collapsed="false">
      <c r="A92" s="18" t="s">
        <v>154</v>
      </c>
      <c r="B92" s="18" t="n">
        <v>3</v>
      </c>
      <c r="C92" s="18" t="s">
        <v>313</v>
      </c>
      <c r="D92" s="18"/>
      <c r="E92" s="18"/>
      <c r="F92" s="18"/>
      <c r="G92" s="18" t="str">
        <f aca="false">IF(COUNT(D92:F92)=3,SUM(D92:F92),"")</f>
        <v/>
      </c>
      <c r="H92" s="9"/>
    </row>
    <row r="93" customFormat="false" ht="15" hidden="false" customHeight="false" outlineLevel="0" collapsed="false">
      <c r="A93" s="18" t="s">
        <v>154</v>
      </c>
      <c r="B93" s="18" t="n">
        <v>3</v>
      </c>
      <c r="C93" s="18" t="s">
        <v>314</v>
      </c>
      <c r="D93" s="18"/>
      <c r="E93" s="18"/>
      <c r="F93" s="18"/>
      <c r="G93" s="18" t="str">
        <f aca="false">IF(COUNT(D93:F93)=3,SUM(D93:F93),"")</f>
        <v/>
      </c>
      <c r="H93" s="9"/>
    </row>
    <row r="94" customFormat="false" ht="15" hidden="false" customHeight="false" outlineLevel="0" collapsed="false">
      <c r="A94" s="18" t="s">
        <v>158</v>
      </c>
      <c r="B94" s="18" t="n">
        <v>3</v>
      </c>
      <c r="C94" s="18" t="s">
        <v>311</v>
      </c>
      <c r="D94" s="18"/>
      <c r="E94" s="18"/>
      <c r="F94" s="18"/>
      <c r="G94" s="18" t="str">
        <f aca="false">IF(COUNT(D94:F94)=3,SUM(D94:F94),"")</f>
        <v/>
      </c>
      <c r="H94" s="9"/>
    </row>
    <row r="95" customFormat="false" ht="15" hidden="false" customHeight="false" outlineLevel="0" collapsed="false">
      <c r="A95" s="18" t="s">
        <v>158</v>
      </c>
      <c r="B95" s="18" t="n">
        <v>3</v>
      </c>
      <c r="C95" s="18" t="s">
        <v>312</v>
      </c>
      <c r="D95" s="18"/>
      <c r="E95" s="18"/>
      <c r="F95" s="18"/>
      <c r="G95" s="18" t="str">
        <f aca="false">IF(COUNT(D95:F95)=3,SUM(D95:F95),"")</f>
        <v/>
      </c>
      <c r="H95" s="9"/>
    </row>
    <row r="96" customFormat="false" ht="15" hidden="false" customHeight="false" outlineLevel="0" collapsed="false">
      <c r="A96" s="18" t="s">
        <v>158</v>
      </c>
      <c r="B96" s="18" t="n">
        <v>3</v>
      </c>
      <c r="C96" s="18" t="s">
        <v>313</v>
      </c>
      <c r="D96" s="18"/>
      <c r="E96" s="18"/>
      <c r="F96" s="18"/>
      <c r="G96" s="18" t="str">
        <f aca="false">IF(COUNT(D96:F96)=3,SUM(D96:F96),"")</f>
        <v/>
      </c>
      <c r="H96" s="9"/>
    </row>
    <row r="97" customFormat="false" ht="15" hidden="false" customHeight="false" outlineLevel="0" collapsed="false">
      <c r="A97" s="18" t="s">
        <v>158</v>
      </c>
      <c r="B97" s="18" t="n">
        <v>3</v>
      </c>
      <c r="C97" s="18" t="s">
        <v>314</v>
      </c>
      <c r="D97" s="18"/>
      <c r="E97" s="18"/>
      <c r="F97" s="18"/>
      <c r="G97" s="18" t="str">
        <f aca="false">IF(COUNT(D97:F97)=3,SUM(D97:F97),"")</f>
        <v/>
      </c>
      <c r="H97" s="9"/>
    </row>
    <row r="98" customFormat="false" ht="15" hidden="false" customHeight="false" outlineLevel="0" collapsed="false">
      <c r="A98" s="18" t="s">
        <v>162</v>
      </c>
      <c r="B98" s="18" t="n">
        <v>3</v>
      </c>
      <c r="C98" s="18" t="s">
        <v>311</v>
      </c>
      <c r="D98" s="18"/>
      <c r="E98" s="18"/>
      <c r="F98" s="18"/>
      <c r="G98" s="18" t="str">
        <f aca="false">IF(COUNT(D98:F98)=3,SUM(D98:F98),"")</f>
        <v/>
      </c>
      <c r="H98" s="9"/>
    </row>
    <row r="99" customFormat="false" ht="15" hidden="false" customHeight="false" outlineLevel="0" collapsed="false">
      <c r="A99" s="18" t="s">
        <v>162</v>
      </c>
      <c r="B99" s="18" t="n">
        <v>3</v>
      </c>
      <c r="C99" s="18" t="s">
        <v>312</v>
      </c>
      <c r="D99" s="18"/>
      <c r="E99" s="18"/>
      <c r="F99" s="18"/>
      <c r="G99" s="18" t="str">
        <f aca="false">IF(COUNT(D99:F99)=3,SUM(D99:F99),"")</f>
        <v/>
      </c>
      <c r="H99" s="9"/>
    </row>
    <row r="100" customFormat="false" ht="15" hidden="false" customHeight="false" outlineLevel="0" collapsed="false">
      <c r="A100" s="18" t="s">
        <v>162</v>
      </c>
      <c r="B100" s="18" t="n">
        <v>3</v>
      </c>
      <c r="C100" s="18" t="s">
        <v>313</v>
      </c>
      <c r="D100" s="18"/>
      <c r="E100" s="18"/>
      <c r="F100" s="18"/>
      <c r="G100" s="18" t="str">
        <f aca="false">IF(COUNT(D100:F100)=3,SUM(D100:F100),"")</f>
        <v/>
      </c>
      <c r="H100" s="9"/>
    </row>
    <row r="101" customFormat="false" ht="15" hidden="false" customHeight="false" outlineLevel="0" collapsed="false">
      <c r="A101" s="18" t="s">
        <v>162</v>
      </c>
      <c r="B101" s="18" t="n">
        <v>3</v>
      </c>
      <c r="C101" s="18" t="s">
        <v>314</v>
      </c>
      <c r="D101" s="18"/>
      <c r="E101" s="18"/>
      <c r="F101" s="18"/>
      <c r="G101" s="18" t="str">
        <f aca="false">IF(COUNT(D101:F101)=3,SUM(D101:F101),"")</f>
        <v/>
      </c>
      <c r="H101" s="9"/>
    </row>
    <row r="102" customFormat="false" ht="15" hidden="false" customHeight="false" outlineLevel="0" collapsed="false">
      <c r="A102" s="18" t="s">
        <v>166</v>
      </c>
      <c r="B102" s="18" t="n">
        <v>3</v>
      </c>
      <c r="C102" s="18" t="s">
        <v>311</v>
      </c>
      <c r="D102" s="18"/>
      <c r="E102" s="18"/>
      <c r="F102" s="18"/>
      <c r="G102" s="18" t="str">
        <f aca="false">IF(COUNT(D102:F102)=3,SUM(D102:F102),"")</f>
        <v/>
      </c>
      <c r="H102" s="9"/>
    </row>
    <row r="103" customFormat="false" ht="15" hidden="false" customHeight="false" outlineLevel="0" collapsed="false">
      <c r="A103" s="18" t="s">
        <v>166</v>
      </c>
      <c r="B103" s="18" t="n">
        <v>3</v>
      </c>
      <c r="C103" s="18" t="s">
        <v>312</v>
      </c>
      <c r="D103" s="18"/>
      <c r="E103" s="18"/>
      <c r="F103" s="18"/>
      <c r="G103" s="18" t="str">
        <f aca="false">IF(COUNT(D103:F103)=3,SUM(D103:F103),"")</f>
        <v/>
      </c>
      <c r="H103" s="9"/>
    </row>
    <row r="104" customFormat="false" ht="15" hidden="false" customHeight="false" outlineLevel="0" collapsed="false">
      <c r="A104" s="18" t="s">
        <v>166</v>
      </c>
      <c r="B104" s="18" t="n">
        <v>3</v>
      </c>
      <c r="C104" s="18" t="s">
        <v>313</v>
      </c>
      <c r="D104" s="18"/>
      <c r="E104" s="18"/>
      <c r="F104" s="18"/>
      <c r="G104" s="18" t="str">
        <f aca="false">IF(COUNT(D104:F104)=3,SUM(D104:F104),"")</f>
        <v/>
      </c>
      <c r="H104" s="9"/>
    </row>
    <row r="105" customFormat="false" ht="15" hidden="false" customHeight="false" outlineLevel="0" collapsed="false">
      <c r="A105" s="18" t="s">
        <v>166</v>
      </c>
      <c r="B105" s="18" t="n">
        <v>3</v>
      </c>
      <c r="C105" s="18" t="s">
        <v>314</v>
      </c>
      <c r="D105" s="18"/>
      <c r="E105" s="18"/>
      <c r="F105" s="18"/>
      <c r="G105" s="18" t="str">
        <f aca="false">IF(COUNT(D105:F105)=3,SUM(D105:F105),"")</f>
        <v/>
      </c>
      <c r="H105" s="9"/>
    </row>
    <row r="106" customFormat="false" ht="15" hidden="false" customHeight="false" outlineLevel="0" collapsed="false">
      <c r="A106" s="18" t="s">
        <v>170</v>
      </c>
      <c r="B106" s="18" t="n">
        <v>3</v>
      </c>
      <c r="C106" s="18" t="s">
        <v>311</v>
      </c>
      <c r="D106" s="18"/>
      <c r="E106" s="18"/>
      <c r="F106" s="18"/>
      <c r="G106" s="18" t="str">
        <f aca="false">IF(COUNT(D106:F106)=3,SUM(D106:F106),"")</f>
        <v/>
      </c>
      <c r="H106" s="9"/>
    </row>
    <row r="107" customFormat="false" ht="15" hidden="false" customHeight="false" outlineLevel="0" collapsed="false">
      <c r="A107" s="18" t="s">
        <v>170</v>
      </c>
      <c r="B107" s="18" t="n">
        <v>3</v>
      </c>
      <c r="C107" s="18" t="s">
        <v>312</v>
      </c>
      <c r="D107" s="18"/>
      <c r="E107" s="18"/>
      <c r="F107" s="18"/>
      <c r="G107" s="18" t="str">
        <f aca="false">IF(COUNT(D107:F107)=3,SUM(D107:F107),"")</f>
        <v/>
      </c>
      <c r="H107" s="9"/>
    </row>
    <row r="108" customFormat="false" ht="15" hidden="false" customHeight="false" outlineLevel="0" collapsed="false">
      <c r="A108" s="18" t="s">
        <v>170</v>
      </c>
      <c r="B108" s="18" t="n">
        <v>3</v>
      </c>
      <c r="C108" s="18" t="s">
        <v>313</v>
      </c>
      <c r="D108" s="18"/>
      <c r="E108" s="18"/>
      <c r="F108" s="18"/>
      <c r="G108" s="18" t="str">
        <f aca="false">IF(COUNT(D108:F108)=3,SUM(D108:F108),"")</f>
        <v/>
      </c>
      <c r="H108" s="9"/>
    </row>
    <row r="109" customFormat="false" ht="15" hidden="false" customHeight="false" outlineLevel="0" collapsed="false">
      <c r="A109" s="18" t="s">
        <v>170</v>
      </c>
      <c r="B109" s="18" t="n">
        <v>3</v>
      </c>
      <c r="C109" s="18" t="s">
        <v>314</v>
      </c>
      <c r="D109" s="18"/>
      <c r="E109" s="18"/>
      <c r="F109" s="18"/>
      <c r="G109" s="18" t="str">
        <f aca="false">IF(COUNT(D109:F109)=3,SUM(D109:F109),"")</f>
        <v/>
      </c>
      <c r="H109" s="9"/>
    </row>
    <row r="110" customFormat="false" ht="15" hidden="false" customHeight="false" outlineLevel="0" collapsed="false">
      <c r="A110" s="18" t="s">
        <v>174</v>
      </c>
      <c r="B110" s="18" t="n">
        <v>3</v>
      </c>
      <c r="C110" s="18" t="s">
        <v>311</v>
      </c>
      <c r="D110" s="18"/>
      <c r="E110" s="18"/>
      <c r="F110" s="18"/>
      <c r="G110" s="18" t="str">
        <f aca="false">IF(COUNT(D110:F110)=3,SUM(D110:F110),"")</f>
        <v/>
      </c>
      <c r="H110" s="9"/>
    </row>
    <row r="111" customFormat="false" ht="15" hidden="false" customHeight="false" outlineLevel="0" collapsed="false">
      <c r="A111" s="18" t="s">
        <v>174</v>
      </c>
      <c r="B111" s="18" t="n">
        <v>3</v>
      </c>
      <c r="C111" s="18" t="s">
        <v>312</v>
      </c>
      <c r="D111" s="18"/>
      <c r="E111" s="18"/>
      <c r="F111" s="18"/>
      <c r="G111" s="18" t="str">
        <f aca="false">IF(COUNT(D111:F111)=3,SUM(D111:F111),"")</f>
        <v/>
      </c>
      <c r="H111" s="9"/>
    </row>
    <row r="112" customFormat="false" ht="15" hidden="false" customHeight="false" outlineLevel="0" collapsed="false">
      <c r="A112" s="18" t="s">
        <v>174</v>
      </c>
      <c r="B112" s="18" t="n">
        <v>3</v>
      </c>
      <c r="C112" s="18" t="s">
        <v>313</v>
      </c>
      <c r="D112" s="18"/>
      <c r="E112" s="18"/>
      <c r="F112" s="18"/>
      <c r="G112" s="18" t="str">
        <f aca="false">IF(COUNT(D112:F112)=3,SUM(D112:F112),"")</f>
        <v/>
      </c>
      <c r="H112" s="9"/>
    </row>
    <row r="113" customFormat="false" ht="15" hidden="false" customHeight="false" outlineLevel="0" collapsed="false">
      <c r="A113" s="18" t="s">
        <v>174</v>
      </c>
      <c r="B113" s="18" t="n">
        <v>3</v>
      </c>
      <c r="C113" s="18" t="s">
        <v>314</v>
      </c>
      <c r="D113" s="18"/>
      <c r="E113" s="18"/>
      <c r="F113" s="18"/>
      <c r="G113" s="18" t="str">
        <f aca="false">IF(COUNT(D113:F113)=3,SUM(D113:F113),"")</f>
        <v/>
      </c>
      <c r="H113" s="9"/>
    </row>
    <row r="114" customFormat="false" ht="15" hidden="false" customHeight="false" outlineLevel="0" collapsed="false">
      <c r="A114" s="18" t="s">
        <v>178</v>
      </c>
      <c r="B114" s="18" t="n">
        <v>3</v>
      </c>
      <c r="C114" s="18" t="s">
        <v>311</v>
      </c>
      <c r="D114" s="18"/>
      <c r="E114" s="18"/>
      <c r="F114" s="18"/>
      <c r="G114" s="18" t="str">
        <f aca="false">IF(COUNT(D114:F114)=3,SUM(D114:F114),"")</f>
        <v/>
      </c>
      <c r="H114" s="9"/>
    </row>
    <row r="115" customFormat="false" ht="15" hidden="false" customHeight="false" outlineLevel="0" collapsed="false">
      <c r="A115" s="18" t="s">
        <v>178</v>
      </c>
      <c r="B115" s="18" t="n">
        <v>3</v>
      </c>
      <c r="C115" s="18" t="s">
        <v>312</v>
      </c>
      <c r="D115" s="18"/>
      <c r="E115" s="18"/>
      <c r="F115" s="18"/>
      <c r="G115" s="18" t="str">
        <f aca="false">IF(COUNT(D115:F115)=3,SUM(D115:F115),"")</f>
        <v/>
      </c>
      <c r="H115" s="9"/>
    </row>
    <row r="116" customFormat="false" ht="15" hidden="false" customHeight="false" outlineLevel="0" collapsed="false">
      <c r="A116" s="18" t="s">
        <v>178</v>
      </c>
      <c r="B116" s="18" t="n">
        <v>3</v>
      </c>
      <c r="C116" s="18" t="s">
        <v>313</v>
      </c>
      <c r="D116" s="18"/>
      <c r="E116" s="18"/>
      <c r="F116" s="18"/>
      <c r="G116" s="18" t="str">
        <f aca="false">IF(COUNT(D116:F116)=3,SUM(D116:F116),"")</f>
        <v/>
      </c>
      <c r="H116" s="9"/>
    </row>
    <row r="117" customFormat="false" ht="15" hidden="false" customHeight="false" outlineLevel="0" collapsed="false">
      <c r="A117" s="18" t="s">
        <v>178</v>
      </c>
      <c r="B117" s="18" t="n">
        <v>3</v>
      </c>
      <c r="C117" s="18" t="s">
        <v>314</v>
      </c>
      <c r="D117" s="18"/>
      <c r="E117" s="18"/>
      <c r="F117" s="18"/>
      <c r="G117" s="18" t="str">
        <f aca="false">IF(COUNT(D117:F117)=3,SUM(D117:F117),"")</f>
        <v/>
      </c>
      <c r="H117" s="9"/>
    </row>
    <row r="118" customFormat="false" ht="15" hidden="false" customHeight="false" outlineLevel="0" collapsed="false">
      <c r="A118" s="18" t="s">
        <v>182</v>
      </c>
      <c r="B118" s="18" t="n">
        <v>3</v>
      </c>
      <c r="C118" s="18" t="s">
        <v>311</v>
      </c>
      <c r="D118" s="18"/>
      <c r="E118" s="18"/>
      <c r="F118" s="18"/>
      <c r="G118" s="18" t="str">
        <f aca="false">IF(COUNT(D118:F118)=3,SUM(D118:F118),"")</f>
        <v/>
      </c>
      <c r="H118" s="9"/>
    </row>
    <row r="119" customFormat="false" ht="15" hidden="false" customHeight="false" outlineLevel="0" collapsed="false">
      <c r="A119" s="18" t="s">
        <v>182</v>
      </c>
      <c r="B119" s="18" t="n">
        <v>3</v>
      </c>
      <c r="C119" s="18" t="s">
        <v>312</v>
      </c>
      <c r="D119" s="18"/>
      <c r="E119" s="18"/>
      <c r="F119" s="18"/>
      <c r="G119" s="18" t="str">
        <f aca="false">IF(COUNT(D119:F119)=3,SUM(D119:F119),"")</f>
        <v/>
      </c>
      <c r="H119" s="9"/>
    </row>
    <row r="120" customFormat="false" ht="15" hidden="false" customHeight="false" outlineLevel="0" collapsed="false">
      <c r="A120" s="18" t="s">
        <v>182</v>
      </c>
      <c r="B120" s="18" t="n">
        <v>3</v>
      </c>
      <c r="C120" s="18" t="s">
        <v>313</v>
      </c>
      <c r="D120" s="18"/>
      <c r="E120" s="18"/>
      <c r="F120" s="18"/>
      <c r="G120" s="18" t="str">
        <f aca="false">IF(COUNT(D120:F120)=3,SUM(D120:F120),"")</f>
        <v/>
      </c>
      <c r="H120" s="9"/>
    </row>
    <row r="121" customFormat="false" ht="15" hidden="false" customHeight="false" outlineLevel="0" collapsed="false">
      <c r="A121" s="18" t="s">
        <v>182</v>
      </c>
      <c r="B121" s="18" t="n">
        <v>3</v>
      </c>
      <c r="C121" s="18" t="s">
        <v>314</v>
      </c>
      <c r="D121" s="18"/>
      <c r="E121" s="18"/>
      <c r="F121" s="18"/>
      <c r="G121" s="18" t="str">
        <f aca="false">IF(COUNT(D121:F121)=3,SUM(D121:F121),"")</f>
        <v/>
      </c>
      <c r="H121" s="9"/>
    </row>
    <row r="122" customFormat="false" ht="15" hidden="false" customHeight="false" outlineLevel="0" collapsed="false">
      <c r="A122" s="18" t="s">
        <v>186</v>
      </c>
      <c r="B122" s="18" t="n">
        <v>4</v>
      </c>
      <c r="C122" s="18" t="s">
        <v>311</v>
      </c>
      <c r="D122" s="18"/>
      <c r="E122" s="18"/>
      <c r="F122" s="18"/>
      <c r="G122" s="18" t="str">
        <f aca="false">IF(COUNT(D122:F122)=3,SUM(D122:F122),"")</f>
        <v/>
      </c>
      <c r="H122" s="9"/>
    </row>
    <row r="123" customFormat="false" ht="15" hidden="false" customHeight="false" outlineLevel="0" collapsed="false">
      <c r="A123" s="18" t="s">
        <v>186</v>
      </c>
      <c r="B123" s="18" t="n">
        <v>4</v>
      </c>
      <c r="C123" s="18" t="s">
        <v>312</v>
      </c>
      <c r="D123" s="18"/>
      <c r="E123" s="18"/>
      <c r="F123" s="18"/>
      <c r="G123" s="18" t="str">
        <f aca="false">IF(COUNT(D123:F123)=3,SUM(D123:F123),"")</f>
        <v/>
      </c>
      <c r="H123" s="9"/>
    </row>
    <row r="124" customFormat="false" ht="15" hidden="false" customHeight="false" outlineLevel="0" collapsed="false">
      <c r="A124" s="18" t="s">
        <v>186</v>
      </c>
      <c r="B124" s="18" t="n">
        <v>4</v>
      </c>
      <c r="C124" s="18" t="s">
        <v>313</v>
      </c>
      <c r="D124" s="18"/>
      <c r="E124" s="18"/>
      <c r="F124" s="18"/>
      <c r="G124" s="18" t="str">
        <f aca="false">IF(COUNT(D124:F124)=3,SUM(D124:F124),"")</f>
        <v/>
      </c>
      <c r="H124" s="9"/>
    </row>
    <row r="125" customFormat="false" ht="15" hidden="false" customHeight="false" outlineLevel="0" collapsed="false">
      <c r="A125" s="18" t="s">
        <v>186</v>
      </c>
      <c r="B125" s="18" t="n">
        <v>4</v>
      </c>
      <c r="C125" s="18" t="s">
        <v>314</v>
      </c>
      <c r="D125" s="18"/>
      <c r="E125" s="18"/>
      <c r="F125" s="18"/>
      <c r="G125" s="18" t="str">
        <f aca="false">IF(COUNT(D125:F125)=3,SUM(D125:F125),"")</f>
        <v/>
      </c>
      <c r="H125" s="9"/>
    </row>
    <row r="126" customFormat="false" ht="15" hidden="false" customHeight="false" outlineLevel="0" collapsed="false">
      <c r="A126" s="18" t="s">
        <v>191</v>
      </c>
      <c r="B126" s="18" t="n">
        <v>4</v>
      </c>
      <c r="C126" s="18" t="s">
        <v>311</v>
      </c>
      <c r="D126" s="18"/>
      <c r="E126" s="18"/>
      <c r="F126" s="18"/>
      <c r="G126" s="18" t="str">
        <f aca="false">IF(COUNT(D126:F126)=3,SUM(D126:F126),"")</f>
        <v/>
      </c>
      <c r="H126" s="9"/>
    </row>
    <row r="127" customFormat="false" ht="15" hidden="false" customHeight="false" outlineLevel="0" collapsed="false">
      <c r="A127" s="18" t="s">
        <v>191</v>
      </c>
      <c r="B127" s="18" t="n">
        <v>4</v>
      </c>
      <c r="C127" s="18" t="s">
        <v>312</v>
      </c>
      <c r="D127" s="18"/>
      <c r="E127" s="18"/>
      <c r="F127" s="18"/>
      <c r="G127" s="18" t="str">
        <f aca="false">IF(COUNT(D127:F127)=3,SUM(D127:F127),"")</f>
        <v/>
      </c>
      <c r="H127" s="9"/>
    </row>
    <row r="128" customFormat="false" ht="15" hidden="false" customHeight="false" outlineLevel="0" collapsed="false">
      <c r="A128" s="18" t="s">
        <v>191</v>
      </c>
      <c r="B128" s="18" t="n">
        <v>4</v>
      </c>
      <c r="C128" s="18" t="s">
        <v>313</v>
      </c>
      <c r="D128" s="18"/>
      <c r="E128" s="18"/>
      <c r="F128" s="18"/>
      <c r="G128" s="18" t="str">
        <f aca="false">IF(COUNT(D128:F128)=3,SUM(D128:F128),"")</f>
        <v/>
      </c>
      <c r="H128" s="9"/>
    </row>
    <row r="129" customFormat="false" ht="15" hidden="false" customHeight="false" outlineLevel="0" collapsed="false">
      <c r="A129" s="18" t="s">
        <v>191</v>
      </c>
      <c r="B129" s="18" t="n">
        <v>4</v>
      </c>
      <c r="C129" s="18" t="s">
        <v>314</v>
      </c>
      <c r="D129" s="18"/>
      <c r="E129" s="18"/>
      <c r="F129" s="18"/>
      <c r="G129" s="18" t="str">
        <f aca="false">IF(COUNT(D129:F129)=3,SUM(D129:F129),"")</f>
        <v/>
      </c>
      <c r="H129" s="9"/>
    </row>
    <row r="130" customFormat="false" ht="15" hidden="false" customHeight="false" outlineLevel="0" collapsed="false">
      <c r="A130" s="18" t="s">
        <v>195</v>
      </c>
      <c r="B130" s="18" t="n">
        <v>4</v>
      </c>
      <c r="C130" s="18" t="s">
        <v>311</v>
      </c>
      <c r="D130" s="18"/>
      <c r="E130" s="18"/>
      <c r="F130" s="18"/>
      <c r="G130" s="18" t="str">
        <f aca="false">IF(COUNT(D130:F130)=3,SUM(D130:F130),"")</f>
        <v/>
      </c>
      <c r="H130" s="9"/>
    </row>
    <row r="131" customFormat="false" ht="15" hidden="false" customHeight="false" outlineLevel="0" collapsed="false">
      <c r="A131" s="18" t="s">
        <v>195</v>
      </c>
      <c r="B131" s="18" t="n">
        <v>4</v>
      </c>
      <c r="C131" s="18" t="s">
        <v>312</v>
      </c>
      <c r="D131" s="18"/>
      <c r="E131" s="18"/>
      <c r="F131" s="18"/>
      <c r="G131" s="18" t="str">
        <f aca="false">IF(COUNT(D131:F131)=3,SUM(D131:F131),"")</f>
        <v/>
      </c>
      <c r="H131" s="9"/>
    </row>
    <row r="132" customFormat="false" ht="15" hidden="false" customHeight="false" outlineLevel="0" collapsed="false">
      <c r="A132" s="18" t="s">
        <v>195</v>
      </c>
      <c r="B132" s="18" t="n">
        <v>4</v>
      </c>
      <c r="C132" s="18" t="s">
        <v>313</v>
      </c>
      <c r="D132" s="18"/>
      <c r="E132" s="18"/>
      <c r="F132" s="18"/>
      <c r="G132" s="18" t="str">
        <f aca="false">IF(COUNT(D132:F132)=3,SUM(D132:F132),"")</f>
        <v/>
      </c>
      <c r="H132" s="9"/>
    </row>
    <row r="133" customFormat="false" ht="15" hidden="false" customHeight="false" outlineLevel="0" collapsed="false">
      <c r="A133" s="18" t="s">
        <v>195</v>
      </c>
      <c r="B133" s="18" t="n">
        <v>4</v>
      </c>
      <c r="C133" s="18" t="s">
        <v>314</v>
      </c>
      <c r="D133" s="18"/>
      <c r="E133" s="18"/>
      <c r="F133" s="18"/>
      <c r="G133" s="18" t="str">
        <f aca="false">IF(COUNT(D133:F133)=3,SUM(D133:F133),"")</f>
        <v/>
      </c>
      <c r="H133" s="9"/>
    </row>
    <row r="134" customFormat="false" ht="15" hidden="false" customHeight="false" outlineLevel="0" collapsed="false">
      <c r="A134" s="18" t="s">
        <v>199</v>
      </c>
      <c r="B134" s="18" t="n">
        <v>4</v>
      </c>
      <c r="C134" s="18" t="s">
        <v>311</v>
      </c>
      <c r="D134" s="18"/>
      <c r="E134" s="18"/>
      <c r="F134" s="18"/>
      <c r="G134" s="18" t="str">
        <f aca="false">IF(COUNT(D134:F134)=3,SUM(D134:F134),"")</f>
        <v/>
      </c>
      <c r="H134" s="9"/>
    </row>
    <row r="135" customFormat="false" ht="15" hidden="false" customHeight="false" outlineLevel="0" collapsed="false">
      <c r="A135" s="18" t="s">
        <v>199</v>
      </c>
      <c r="B135" s="18" t="n">
        <v>4</v>
      </c>
      <c r="C135" s="18" t="s">
        <v>312</v>
      </c>
      <c r="D135" s="18"/>
      <c r="E135" s="18"/>
      <c r="F135" s="18"/>
      <c r="G135" s="18" t="str">
        <f aca="false">IF(COUNT(D135:F135)=3,SUM(D135:F135),"")</f>
        <v/>
      </c>
      <c r="H135" s="9"/>
    </row>
    <row r="136" customFormat="false" ht="15" hidden="false" customHeight="false" outlineLevel="0" collapsed="false">
      <c r="A136" s="18" t="s">
        <v>199</v>
      </c>
      <c r="B136" s="18" t="n">
        <v>4</v>
      </c>
      <c r="C136" s="18" t="s">
        <v>313</v>
      </c>
      <c r="D136" s="18"/>
      <c r="E136" s="18"/>
      <c r="F136" s="18"/>
      <c r="G136" s="18" t="str">
        <f aca="false">IF(COUNT(D136:F136)=3,SUM(D136:F136),"")</f>
        <v/>
      </c>
      <c r="H136" s="9"/>
    </row>
    <row r="137" customFormat="false" ht="15" hidden="false" customHeight="false" outlineLevel="0" collapsed="false">
      <c r="A137" s="18" t="s">
        <v>199</v>
      </c>
      <c r="B137" s="18" t="n">
        <v>4</v>
      </c>
      <c r="C137" s="18" t="s">
        <v>314</v>
      </c>
      <c r="D137" s="18"/>
      <c r="E137" s="18"/>
      <c r="F137" s="18"/>
      <c r="G137" s="18" t="str">
        <f aca="false">IF(COUNT(D137:F137)=3,SUM(D137:F137),"")</f>
        <v/>
      </c>
      <c r="H137" s="9"/>
    </row>
    <row r="138" customFormat="false" ht="15" hidden="false" customHeight="false" outlineLevel="0" collapsed="false">
      <c r="A138" s="18" t="s">
        <v>202</v>
      </c>
      <c r="B138" s="18" t="n">
        <v>4</v>
      </c>
      <c r="C138" s="18" t="s">
        <v>311</v>
      </c>
      <c r="D138" s="18"/>
      <c r="E138" s="18"/>
      <c r="F138" s="18"/>
      <c r="G138" s="18" t="str">
        <f aca="false">IF(COUNT(D138:F138)=3,SUM(D138:F138),"")</f>
        <v/>
      </c>
      <c r="H138" s="9"/>
    </row>
    <row r="139" customFormat="false" ht="15" hidden="false" customHeight="false" outlineLevel="0" collapsed="false">
      <c r="A139" s="18" t="s">
        <v>202</v>
      </c>
      <c r="B139" s="18" t="n">
        <v>4</v>
      </c>
      <c r="C139" s="18" t="s">
        <v>312</v>
      </c>
      <c r="D139" s="18"/>
      <c r="E139" s="18"/>
      <c r="F139" s="18"/>
      <c r="G139" s="18" t="str">
        <f aca="false">IF(COUNT(D139:F139)=3,SUM(D139:F139),"")</f>
        <v/>
      </c>
      <c r="H139" s="9"/>
    </row>
    <row r="140" customFormat="false" ht="15" hidden="false" customHeight="false" outlineLevel="0" collapsed="false">
      <c r="A140" s="18" t="s">
        <v>202</v>
      </c>
      <c r="B140" s="18" t="n">
        <v>4</v>
      </c>
      <c r="C140" s="18" t="s">
        <v>313</v>
      </c>
      <c r="D140" s="18"/>
      <c r="E140" s="18"/>
      <c r="F140" s="18"/>
      <c r="G140" s="18" t="str">
        <f aca="false">IF(COUNT(D140:F140)=3,SUM(D140:F140),"")</f>
        <v/>
      </c>
      <c r="H140" s="9"/>
    </row>
    <row r="141" customFormat="false" ht="15" hidden="false" customHeight="false" outlineLevel="0" collapsed="false">
      <c r="A141" s="18" t="s">
        <v>202</v>
      </c>
      <c r="B141" s="18" t="n">
        <v>4</v>
      </c>
      <c r="C141" s="18" t="s">
        <v>314</v>
      </c>
      <c r="D141" s="18"/>
      <c r="E141" s="18"/>
      <c r="F141" s="18"/>
      <c r="G141" s="18" t="str">
        <f aca="false">IF(COUNT(D141:F141)=3,SUM(D141:F141),"")</f>
        <v/>
      </c>
      <c r="H141" s="9"/>
    </row>
    <row r="142" customFormat="false" ht="15" hidden="false" customHeight="false" outlineLevel="0" collapsed="false">
      <c r="A142" s="18" t="s">
        <v>206</v>
      </c>
      <c r="B142" s="18" t="n">
        <v>4</v>
      </c>
      <c r="C142" s="18" t="s">
        <v>311</v>
      </c>
      <c r="D142" s="18"/>
      <c r="E142" s="18"/>
      <c r="F142" s="18"/>
      <c r="G142" s="18" t="str">
        <f aca="false">IF(COUNT(D142:F142)=3,SUM(D142:F142),"")</f>
        <v/>
      </c>
      <c r="H142" s="9"/>
    </row>
    <row r="143" customFormat="false" ht="15" hidden="false" customHeight="false" outlineLevel="0" collapsed="false">
      <c r="A143" s="18" t="s">
        <v>206</v>
      </c>
      <c r="B143" s="18" t="n">
        <v>4</v>
      </c>
      <c r="C143" s="18" t="s">
        <v>312</v>
      </c>
      <c r="D143" s="18"/>
      <c r="E143" s="18"/>
      <c r="F143" s="18"/>
      <c r="G143" s="18" t="str">
        <f aca="false">IF(COUNT(D143:F143)=3,SUM(D143:F143),"")</f>
        <v/>
      </c>
      <c r="H143" s="9"/>
    </row>
    <row r="144" customFormat="false" ht="15" hidden="false" customHeight="false" outlineLevel="0" collapsed="false">
      <c r="A144" s="18" t="s">
        <v>206</v>
      </c>
      <c r="B144" s="18" t="n">
        <v>4</v>
      </c>
      <c r="C144" s="18" t="s">
        <v>313</v>
      </c>
      <c r="D144" s="18"/>
      <c r="E144" s="18"/>
      <c r="F144" s="18"/>
      <c r="G144" s="18" t="str">
        <f aca="false">IF(COUNT(D144:F144)=3,SUM(D144:F144),"")</f>
        <v/>
      </c>
      <c r="H144" s="9"/>
    </row>
    <row r="145" customFormat="false" ht="15" hidden="false" customHeight="false" outlineLevel="0" collapsed="false">
      <c r="A145" s="18" t="s">
        <v>206</v>
      </c>
      <c r="B145" s="18" t="n">
        <v>4</v>
      </c>
      <c r="C145" s="18" t="s">
        <v>314</v>
      </c>
      <c r="D145" s="18"/>
      <c r="E145" s="18"/>
      <c r="F145" s="18"/>
      <c r="G145" s="18" t="str">
        <f aca="false">IF(COUNT(D145:F145)=3,SUM(D145:F145),"")</f>
        <v/>
      </c>
      <c r="H145" s="9"/>
    </row>
    <row r="146" customFormat="false" ht="15" hidden="false" customHeight="false" outlineLevel="0" collapsed="false">
      <c r="A146" s="18" t="s">
        <v>210</v>
      </c>
      <c r="B146" s="18" t="n">
        <v>4</v>
      </c>
      <c r="C146" s="18" t="s">
        <v>311</v>
      </c>
      <c r="D146" s="18"/>
      <c r="E146" s="18"/>
      <c r="F146" s="18"/>
      <c r="G146" s="18" t="str">
        <f aca="false">IF(COUNT(D146:F146)=3,SUM(D146:F146),"")</f>
        <v/>
      </c>
      <c r="H146" s="9"/>
    </row>
    <row r="147" customFormat="false" ht="15" hidden="false" customHeight="false" outlineLevel="0" collapsed="false">
      <c r="A147" s="18" t="s">
        <v>210</v>
      </c>
      <c r="B147" s="18" t="n">
        <v>4</v>
      </c>
      <c r="C147" s="18" t="s">
        <v>312</v>
      </c>
      <c r="D147" s="18"/>
      <c r="E147" s="18"/>
      <c r="F147" s="18"/>
      <c r="G147" s="18" t="str">
        <f aca="false">IF(COUNT(D147:F147)=3,SUM(D147:F147),"")</f>
        <v/>
      </c>
      <c r="H147" s="9"/>
    </row>
    <row r="148" customFormat="false" ht="15" hidden="false" customHeight="false" outlineLevel="0" collapsed="false">
      <c r="A148" s="18" t="s">
        <v>210</v>
      </c>
      <c r="B148" s="18" t="n">
        <v>4</v>
      </c>
      <c r="C148" s="18" t="s">
        <v>313</v>
      </c>
      <c r="D148" s="18"/>
      <c r="E148" s="18"/>
      <c r="F148" s="18"/>
      <c r="G148" s="18" t="str">
        <f aca="false">IF(COUNT(D148:F148)=3,SUM(D148:F148),"")</f>
        <v/>
      </c>
      <c r="H148" s="9"/>
    </row>
    <row r="149" customFormat="false" ht="15" hidden="false" customHeight="false" outlineLevel="0" collapsed="false">
      <c r="A149" s="18" t="s">
        <v>210</v>
      </c>
      <c r="B149" s="18" t="n">
        <v>4</v>
      </c>
      <c r="C149" s="18" t="s">
        <v>314</v>
      </c>
      <c r="D149" s="18"/>
      <c r="E149" s="18"/>
      <c r="F149" s="18"/>
      <c r="G149" s="18" t="str">
        <f aca="false">IF(COUNT(D149:F149)=3,SUM(D149:F149),"")</f>
        <v/>
      </c>
      <c r="H149" s="9"/>
    </row>
    <row r="150" customFormat="false" ht="15" hidden="false" customHeight="false" outlineLevel="0" collapsed="false">
      <c r="A150" s="18" t="s">
        <v>214</v>
      </c>
      <c r="B150" s="18" t="n">
        <v>4</v>
      </c>
      <c r="C150" s="18" t="s">
        <v>311</v>
      </c>
      <c r="D150" s="18"/>
      <c r="E150" s="18"/>
      <c r="F150" s="18"/>
      <c r="G150" s="18" t="str">
        <f aca="false">IF(COUNT(D150:F150)=3,SUM(D150:F150),"")</f>
        <v/>
      </c>
      <c r="H150" s="9"/>
    </row>
    <row r="151" customFormat="false" ht="15" hidden="false" customHeight="false" outlineLevel="0" collapsed="false">
      <c r="A151" s="18" t="s">
        <v>214</v>
      </c>
      <c r="B151" s="18" t="n">
        <v>4</v>
      </c>
      <c r="C151" s="18" t="s">
        <v>312</v>
      </c>
      <c r="D151" s="18"/>
      <c r="E151" s="18"/>
      <c r="F151" s="18"/>
      <c r="G151" s="18" t="str">
        <f aca="false">IF(COUNT(D151:F151)=3,SUM(D151:F151),"")</f>
        <v/>
      </c>
      <c r="H151" s="9"/>
    </row>
    <row r="152" customFormat="false" ht="15" hidden="false" customHeight="false" outlineLevel="0" collapsed="false">
      <c r="A152" s="18" t="s">
        <v>214</v>
      </c>
      <c r="B152" s="18" t="n">
        <v>4</v>
      </c>
      <c r="C152" s="18" t="s">
        <v>313</v>
      </c>
      <c r="D152" s="18"/>
      <c r="E152" s="18"/>
      <c r="F152" s="18"/>
      <c r="G152" s="18" t="str">
        <f aca="false">IF(COUNT(D152:F152)=3,SUM(D152:F152),"")</f>
        <v/>
      </c>
      <c r="H152" s="9"/>
    </row>
    <row r="153" customFormat="false" ht="15" hidden="false" customHeight="false" outlineLevel="0" collapsed="false">
      <c r="A153" s="18" t="s">
        <v>214</v>
      </c>
      <c r="B153" s="18" t="n">
        <v>4</v>
      </c>
      <c r="C153" s="18" t="s">
        <v>314</v>
      </c>
      <c r="D153" s="18"/>
      <c r="E153" s="18"/>
      <c r="F153" s="18"/>
      <c r="G153" s="18" t="str">
        <f aca="false">IF(COUNT(D153:F153)=3,SUM(D153:F153),"")</f>
        <v/>
      </c>
      <c r="H153" s="9"/>
    </row>
    <row r="154" customFormat="false" ht="15" hidden="false" customHeight="false" outlineLevel="0" collapsed="false">
      <c r="A154" s="18" t="s">
        <v>217</v>
      </c>
      <c r="B154" s="18" t="n">
        <v>4</v>
      </c>
      <c r="C154" s="18" t="s">
        <v>311</v>
      </c>
      <c r="D154" s="18"/>
      <c r="E154" s="18"/>
      <c r="F154" s="18"/>
      <c r="G154" s="18" t="str">
        <f aca="false">IF(COUNT(D154:F154)=3,SUM(D154:F154),"")</f>
        <v/>
      </c>
      <c r="H154" s="9"/>
    </row>
    <row r="155" customFormat="false" ht="15" hidden="false" customHeight="false" outlineLevel="0" collapsed="false">
      <c r="A155" s="18" t="s">
        <v>217</v>
      </c>
      <c r="B155" s="18" t="n">
        <v>4</v>
      </c>
      <c r="C155" s="18" t="s">
        <v>312</v>
      </c>
      <c r="D155" s="18"/>
      <c r="E155" s="18"/>
      <c r="F155" s="18"/>
      <c r="G155" s="18" t="str">
        <f aca="false">IF(COUNT(D155:F155)=3,SUM(D155:F155),"")</f>
        <v/>
      </c>
      <c r="H155" s="9"/>
    </row>
    <row r="156" customFormat="false" ht="15" hidden="false" customHeight="false" outlineLevel="0" collapsed="false">
      <c r="A156" s="18" t="s">
        <v>217</v>
      </c>
      <c r="B156" s="18" t="n">
        <v>4</v>
      </c>
      <c r="C156" s="18" t="s">
        <v>313</v>
      </c>
      <c r="D156" s="18"/>
      <c r="E156" s="18"/>
      <c r="F156" s="18"/>
      <c r="G156" s="18" t="str">
        <f aca="false">IF(COUNT(D156:F156)=3,SUM(D156:F156),"")</f>
        <v/>
      </c>
      <c r="H156" s="9"/>
    </row>
    <row r="157" customFormat="false" ht="15" hidden="false" customHeight="false" outlineLevel="0" collapsed="false">
      <c r="A157" s="18" t="s">
        <v>217</v>
      </c>
      <c r="B157" s="18" t="n">
        <v>4</v>
      </c>
      <c r="C157" s="18" t="s">
        <v>314</v>
      </c>
      <c r="D157" s="18"/>
      <c r="E157" s="18"/>
      <c r="F157" s="18"/>
      <c r="G157" s="18" t="str">
        <f aca="false">IF(COUNT(D157:F157)=3,SUM(D157:F157),"")</f>
        <v/>
      </c>
      <c r="H157" s="9"/>
    </row>
    <row r="158" customFormat="false" ht="15" hidden="false" customHeight="false" outlineLevel="0" collapsed="false">
      <c r="A158" s="18" t="s">
        <v>221</v>
      </c>
      <c r="B158" s="18" t="n">
        <v>4</v>
      </c>
      <c r="C158" s="18" t="s">
        <v>311</v>
      </c>
      <c r="D158" s="18"/>
      <c r="E158" s="18"/>
      <c r="F158" s="18"/>
      <c r="G158" s="18" t="str">
        <f aca="false">IF(COUNT(D158:F158)=3,SUM(D158:F158),"")</f>
        <v/>
      </c>
      <c r="H158" s="9"/>
    </row>
    <row r="159" customFormat="false" ht="15" hidden="false" customHeight="false" outlineLevel="0" collapsed="false">
      <c r="A159" s="18" t="s">
        <v>221</v>
      </c>
      <c r="B159" s="18" t="n">
        <v>4</v>
      </c>
      <c r="C159" s="18" t="s">
        <v>312</v>
      </c>
      <c r="D159" s="18"/>
      <c r="E159" s="18"/>
      <c r="F159" s="18"/>
      <c r="G159" s="18" t="str">
        <f aca="false">IF(COUNT(D159:F159)=3,SUM(D159:F159),"")</f>
        <v/>
      </c>
      <c r="H159" s="9"/>
    </row>
    <row r="160" customFormat="false" ht="15" hidden="false" customHeight="false" outlineLevel="0" collapsed="false">
      <c r="A160" s="18" t="s">
        <v>221</v>
      </c>
      <c r="B160" s="18" t="n">
        <v>4</v>
      </c>
      <c r="C160" s="18" t="s">
        <v>313</v>
      </c>
      <c r="D160" s="18"/>
      <c r="E160" s="18"/>
      <c r="F160" s="18"/>
      <c r="G160" s="18" t="str">
        <f aca="false">IF(COUNT(D160:F160)=3,SUM(D160:F160),"")</f>
        <v/>
      </c>
      <c r="H160" s="9"/>
    </row>
    <row r="161" customFormat="false" ht="15" hidden="false" customHeight="false" outlineLevel="0" collapsed="false">
      <c r="A161" s="18" t="s">
        <v>221</v>
      </c>
      <c r="B161" s="18" t="n">
        <v>4</v>
      </c>
      <c r="C161" s="18" t="s">
        <v>314</v>
      </c>
      <c r="D161" s="18"/>
      <c r="E161" s="18"/>
      <c r="F161" s="18"/>
      <c r="G161" s="18" t="str">
        <f aca="false">IF(COUNT(D161:F161)=3,SUM(D161:F161),"")</f>
        <v/>
      </c>
      <c r="H161" s="9"/>
    </row>
    <row r="162" customFormat="false" ht="15" hidden="false" customHeight="false" outlineLevel="0" collapsed="false">
      <c r="A162" s="18" t="s">
        <v>225</v>
      </c>
      <c r="B162" s="18" t="n">
        <v>5</v>
      </c>
      <c r="C162" s="18" t="s">
        <v>311</v>
      </c>
      <c r="D162" s="18"/>
      <c r="E162" s="18"/>
      <c r="F162" s="18"/>
      <c r="G162" s="18" t="str">
        <f aca="false">IF(COUNT(D162:F162)=3,SUM(D162:F162),"")</f>
        <v/>
      </c>
      <c r="H162" s="9"/>
    </row>
    <row r="163" customFormat="false" ht="15" hidden="false" customHeight="false" outlineLevel="0" collapsed="false">
      <c r="A163" s="18" t="s">
        <v>225</v>
      </c>
      <c r="B163" s="18" t="n">
        <v>5</v>
      </c>
      <c r="C163" s="18" t="s">
        <v>312</v>
      </c>
      <c r="D163" s="18"/>
      <c r="E163" s="18"/>
      <c r="F163" s="18"/>
      <c r="G163" s="18" t="str">
        <f aca="false">IF(COUNT(D163:F163)=3,SUM(D163:F163),"")</f>
        <v/>
      </c>
      <c r="H163" s="9"/>
    </row>
    <row r="164" customFormat="false" ht="15" hidden="false" customHeight="false" outlineLevel="0" collapsed="false">
      <c r="A164" s="18" t="s">
        <v>225</v>
      </c>
      <c r="B164" s="18" t="n">
        <v>5</v>
      </c>
      <c r="C164" s="18" t="s">
        <v>313</v>
      </c>
      <c r="D164" s="18"/>
      <c r="E164" s="18"/>
      <c r="F164" s="18"/>
      <c r="G164" s="18" t="str">
        <f aca="false">IF(COUNT(D164:F164)=3,SUM(D164:F164),"")</f>
        <v/>
      </c>
      <c r="H164" s="9"/>
    </row>
    <row r="165" customFormat="false" ht="15" hidden="false" customHeight="false" outlineLevel="0" collapsed="false">
      <c r="A165" s="18" t="s">
        <v>225</v>
      </c>
      <c r="B165" s="18" t="n">
        <v>5</v>
      </c>
      <c r="C165" s="18" t="s">
        <v>314</v>
      </c>
      <c r="D165" s="18"/>
      <c r="E165" s="18"/>
      <c r="F165" s="18"/>
      <c r="G165" s="18" t="str">
        <f aca="false">IF(COUNT(D165:F165)=3,SUM(D165:F165),"")</f>
        <v/>
      </c>
      <c r="H165" s="9"/>
    </row>
    <row r="166" customFormat="false" ht="15" hidden="false" customHeight="false" outlineLevel="0" collapsed="false">
      <c r="A166" s="18" t="s">
        <v>230</v>
      </c>
      <c r="B166" s="18" t="n">
        <v>5</v>
      </c>
      <c r="C166" s="18" t="s">
        <v>311</v>
      </c>
      <c r="D166" s="18"/>
      <c r="E166" s="18"/>
      <c r="F166" s="18"/>
      <c r="G166" s="18" t="str">
        <f aca="false">IF(COUNT(D166:F166)=3,SUM(D166:F166),"")</f>
        <v/>
      </c>
      <c r="H166" s="9"/>
    </row>
    <row r="167" customFormat="false" ht="15" hidden="false" customHeight="false" outlineLevel="0" collapsed="false">
      <c r="A167" s="18" t="s">
        <v>230</v>
      </c>
      <c r="B167" s="18" t="n">
        <v>5</v>
      </c>
      <c r="C167" s="18" t="s">
        <v>312</v>
      </c>
      <c r="D167" s="18"/>
      <c r="E167" s="18"/>
      <c r="F167" s="18"/>
      <c r="G167" s="18" t="str">
        <f aca="false">IF(COUNT(D167:F167)=3,SUM(D167:F167),"")</f>
        <v/>
      </c>
      <c r="H167" s="9"/>
    </row>
    <row r="168" customFormat="false" ht="15" hidden="false" customHeight="false" outlineLevel="0" collapsed="false">
      <c r="A168" s="18" t="s">
        <v>230</v>
      </c>
      <c r="B168" s="18" t="n">
        <v>5</v>
      </c>
      <c r="C168" s="18" t="s">
        <v>313</v>
      </c>
      <c r="D168" s="18"/>
      <c r="E168" s="18"/>
      <c r="F168" s="18"/>
      <c r="G168" s="18" t="str">
        <f aca="false">IF(COUNT(D168:F168)=3,SUM(D168:F168),"")</f>
        <v/>
      </c>
      <c r="H168" s="9"/>
    </row>
    <row r="169" customFormat="false" ht="15" hidden="false" customHeight="false" outlineLevel="0" collapsed="false">
      <c r="A169" s="18" t="s">
        <v>230</v>
      </c>
      <c r="B169" s="18" t="n">
        <v>5</v>
      </c>
      <c r="C169" s="18" t="s">
        <v>314</v>
      </c>
      <c r="D169" s="18"/>
      <c r="E169" s="18"/>
      <c r="F169" s="18"/>
      <c r="G169" s="18" t="str">
        <f aca="false">IF(COUNT(D169:F169)=3,SUM(D169:F169),"")</f>
        <v/>
      </c>
      <c r="H169" s="9"/>
    </row>
    <row r="170" customFormat="false" ht="15" hidden="false" customHeight="false" outlineLevel="0" collapsed="false">
      <c r="A170" s="18" t="s">
        <v>234</v>
      </c>
      <c r="B170" s="18" t="n">
        <v>5</v>
      </c>
      <c r="C170" s="18" t="s">
        <v>311</v>
      </c>
      <c r="D170" s="18"/>
      <c r="E170" s="18"/>
      <c r="F170" s="18"/>
      <c r="G170" s="18" t="str">
        <f aca="false">IF(COUNT(D170:F170)=3,SUM(D170:F170),"")</f>
        <v/>
      </c>
      <c r="H170" s="9"/>
    </row>
    <row r="171" customFormat="false" ht="15" hidden="false" customHeight="false" outlineLevel="0" collapsed="false">
      <c r="A171" s="18" t="s">
        <v>234</v>
      </c>
      <c r="B171" s="18" t="n">
        <v>5</v>
      </c>
      <c r="C171" s="18" t="s">
        <v>312</v>
      </c>
      <c r="D171" s="18"/>
      <c r="E171" s="18"/>
      <c r="F171" s="18"/>
      <c r="G171" s="18" t="str">
        <f aca="false">IF(COUNT(D171:F171)=3,SUM(D171:F171),"")</f>
        <v/>
      </c>
      <c r="H171" s="9"/>
    </row>
    <row r="172" customFormat="false" ht="15" hidden="false" customHeight="false" outlineLevel="0" collapsed="false">
      <c r="A172" s="18" t="s">
        <v>234</v>
      </c>
      <c r="B172" s="18" t="n">
        <v>5</v>
      </c>
      <c r="C172" s="18" t="s">
        <v>313</v>
      </c>
      <c r="D172" s="18"/>
      <c r="E172" s="18"/>
      <c r="F172" s="18"/>
      <c r="G172" s="18" t="str">
        <f aca="false">IF(COUNT(D172:F172)=3,SUM(D172:F172),"")</f>
        <v/>
      </c>
      <c r="H172" s="9"/>
    </row>
    <row r="173" customFormat="false" ht="15" hidden="false" customHeight="false" outlineLevel="0" collapsed="false">
      <c r="A173" s="18" t="s">
        <v>234</v>
      </c>
      <c r="B173" s="18" t="n">
        <v>5</v>
      </c>
      <c r="C173" s="18" t="s">
        <v>314</v>
      </c>
      <c r="D173" s="18"/>
      <c r="E173" s="18"/>
      <c r="F173" s="18"/>
      <c r="G173" s="18" t="str">
        <f aca="false">IF(COUNT(D173:F173)=3,SUM(D173:F173),"")</f>
        <v/>
      </c>
      <c r="H173" s="9"/>
    </row>
    <row r="174" customFormat="false" ht="15" hidden="false" customHeight="false" outlineLevel="0" collapsed="false">
      <c r="A174" s="18" t="s">
        <v>238</v>
      </c>
      <c r="B174" s="18" t="n">
        <v>5</v>
      </c>
      <c r="C174" s="18" t="s">
        <v>311</v>
      </c>
      <c r="D174" s="18"/>
      <c r="E174" s="18"/>
      <c r="F174" s="18"/>
      <c r="G174" s="18" t="str">
        <f aca="false">IF(COUNT(D174:F174)=3,SUM(D174:F174),"")</f>
        <v/>
      </c>
      <c r="H174" s="9"/>
    </row>
    <row r="175" customFormat="false" ht="15" hidden="false" customHeight="false" outlineLevel="0" collapsed="false">
      <c r="A175" s="18" t="s">
        <v>238</v>
      </c>
      <c r="B175" s="18" t="n">
        <v>5</v>
      </c>
      <c r="C175" s="18" t="s">
        <v>312</v>
      </c>
      <c r="D175" s="18"/>
      <c r="E175" s="18"/>
      <c r="F175" s="18"/>
      <c r="G175" s="18" t="str">
        <f aca="false">IF(COUNT(D175:F175)=3,SUM(D175:F175),"")</f>
        <v/>
      </c>
      <c r="H175" s="9"/>
    </row>
    <row r="176" customFormat="false" ht="15" hidden="false" customHeight="false" outlineLevel="0" collapsed="false">
      <c r="A176" s="18" t="s">
        <v>238</v>
      </c>
      <c r="B176" s="18" t="n">
        <v>5</v>
      </c>
      <c r="C176" s="18" t="s">
        <v>313</v>
      </c>
      <c r="D176" s="18"/>
      <c r="E176" s="18"/>
      <c r="F176" s="18"/>
      <c r="G176" s="18" t="str">
        <f aca="false">IF(COUNT(D176:F176)=3,SUM(D176:F176),"")</f>
        <v/>
      </c>
      <c r="H176" s="9"/>
    </row>
    <row r="177" customFormat="false" ht="15" hidden="false" customHeight="false" outlineLevel="0" collapsed="false">
      <c r="A177" s="18" t="s">
        <v>238</v>
      </c>
      <c r="B177" s="18" t="n">
        <v>5</v>
      </c>
      <c r="C177" s="18" t="s">
        <v>314</v>
      </c>
      <c r="D177" s="18"/>
      <c r="E177" s="18"/>
      <c r="F177" s="18"/>
      <c r="G177" s="18" t="str">
        <f aca="false">IF(COUNT(D177:F177)=3,SUM(D177:F177),"")</f>
        <v/>
      </c>
      <c r="H177" s="9"/>
    </row>
    <row r="178" customFormat="false" ht="15" hidden="false" customHeight="false" outlineLevel="0" collapsed="false">
      <c r="A178" s="18" t="s">
        <v>242</v>
      </c>
      <c r="B178" s="18" t="n">
        <v>5</v>
      </c>
      <c r="C178" s="18" t="s">
        <v>311</v>
      </c>
      <c r="D178" s="18"/>
      <c r="E178" s="18"/>
      <c r="F178" s="18"/>
      <c r="G178" s="18" t="str">
        <f aca="false">IF(COUNT(D178:F178)=3,SUM(D178:F178),"")</f>
        <v/>
      </c>
      <c r="H178" s="9"/>
    </row>
    <row r="179" customFormat="false" ht="15" hidden="false" customHeight="false" outlineLevel="0" collapsed="false">
      <c r="A179" s="18" t="s">
        <v>242</v>
      </c>
      <c r="B179" s="18" t="n">
        <v>5</v>
      </c>
      <c r="C179" s="18" t="s">
        <v>312</v>
      </c>
      <c r="D179" s="18"/>
      <c r="E179" s="18"/>
      <c r="F179" s="18"/>
      <c r="G179" s="18" t="str">
        <f aca="false">IF(COUNT(D179:F179)=3,SUM(D179:F179),"")</f>
        <v/>
      </c>
      <c r="H179" s="9"/>
    </row>
    <row r="180" customFormat="false" ht="15" hidden="false" customHeight="false" outlineLevel="0" collapsed="false">
      <c r="A180" s="18" t="s">
        <v>242</v>
      </c>
      <c r="B180" s="18" t="n">
        <v>5</v>
      </c>
      <c r="C180" s="18" t="s">
        <v>313</v>
      </c>
      <c r="D180" s="18"/>
      <c r="E180" s="18"/>
      <c r="F180" s="18"/>
      <c r="G180" s="18" t="str">
        <f aca="false">IF(COUNT(D180:F180)=3,SUM(D180:F180),"")</f>
        <v/>
      </c>
      <c r="H180" s="9"/>
    </row>
    <row r="181" customFormat="false" ht="15" hidden="false" customHeight="false" outlineLevel="0" collapsed="false">
      <c r="A181" s="18" t="s">
        <v>242</v>
      </c>
      <c r="B181" s="18" t="n">
        <v>5</v>
      </c>
      <c r="C181" s="18" t="s">
        <v>314</v>
      </c>
      <c r="D181" s="18"/>
      <c r="E181" s="18"/>
      <c r="F181" s="18"/>
      <c r="G181" s="18" t="str">
        <f aca="false">IF(COUNT(D181:F181)=3,SUM(D181:F181),"")</f>
        <v/>
      </c>
      <c r="H181" s="9"/>
    </row>
    <row r="182" customFormat="false" ht="15" hidden="false" customHeight="false" outlineLevel="0" collapsed="false">
      <c r="A182" s="18" t="s">
        <v>246</v>
      </c>
      <c r="B182" s="18" t="n">
        <v>5</v>
      </c>
      <c r="C182" s="18" t="s">
        <v>311</v>
      </c>
      <c r="D182" s="18"/>
      <c r="E182" s="18"/>
      <c r="F182" s="18"/>
      <c r="G182" s="18" t="str">
        <f aca="false">IF(COUNT(D182:F182)=3,SUM(D182:F182),"")</f>
        <v/>
      </c>
      <c r="H182" s="9"/>
    </row>
    <row r="183" customFormat="false" ht="15" hidden="false" customHeight="false" outlineLevel="0" collapsed="false">
      <c r="A183" s="18" t="s">
        <v>246</v>
      </c>
      <c r="B183" s="18" t="n">
        <v>5</v>
      </c>
      <c r="C183" s="18" t="s">
        <v>312</v>
      </c>
      <c r="D183" s="18"/>
      <c r="E183" s="18"/>
      <c r="F183" s="18"/>
      <c r="G183" s="18" t="str">
        <f aca="false">IF(COUNT(D183:F183)=3,SUM(D183:F183),"")</f>
        <v/>
      </c>
      <c r="H183" s="9"/>
    </row>
    <row r="184" customFormat="false" ht="15" hidden="false" customHeight="false" outlineLevel="0" collapsed="false">
      <c r="A184" s="18" t="s">
        <v>246</v>
      </c>
      <c r="B184" s="18" t="n">
        <v>5</v>
      </c>
      <c r="C184" s="18" t="s">
        <v>313</v>
      </c>
      <c r="D184" s="18"/>
      <c r="E184" s="18"/>
      <c r="F184" s="18"/>
      <c r="G184" s="18" t="str">
        <f aca="false">IF(COUNT(D184:F184)=3,SUM(D184:F184),"")</f>
        <v/>
      </c>
      <c r="H184" s="9"/>
    </row>
    <row r="185" customFormat="false" ht="15" hidden="false" customHeight="false" outlineLevel="0" collapsed="false">
      <c r="A185" s="18" t="s">
        <v>246</v>
      </c>
      <c r="B185" s="18" t="n">
        <v>5</v>
      </c>
      <c r="C185" s="18" t="s">
        <v>314</v>
      </c>
      <c r="D185" s="18"/>
      <c r="E185" s="18"/>
      <c r="F185" s="18"/>
      <c r="G185" s="18" t="str">
        <f aca="false">IF(COUNT(D185:F185)=3,SUM(D185:F185),"")</f>
        <v/>
      </c>
      <c r="H185" s="9"/>
    </row>
    <row r="186" customFormat="false" ht="15" hidden="false" customHeight="false" outlineLevel="0" collapsed="false">
      <c r="A186" s="18" t="s">
        <v>250</v>
      </c>
      <c r="B186" s="18" t="n">
        <v>5</v>
      </c>
      <c r="C186" s="18" t="s">
        <v>311</v>
      </c>
      <c r="D186" s="18"/>
      <c r="E186" s="18"/>
      <c r="F186" s="18"/>
      <c r="G186" s="18" t="str">
        <f aca="false">IF(COUNT(D186:F186)=3,SUM(D186:F186),"")</f>
        <v/>
      </c>
      <c r="H186" s="9"/>
    </row>
    <row r="187" customFormat="false" ht="15" hidden="false" customHeight="false" outlineLevel="0" collapsed="false">
      <c r="A187" s="18" t="s">
        <v>250</v>
      </c>
      <c r="B187" s="18" t="n">
        <v>5</v>
      </c>
      <c r="C187" s="18" t="s">
        <v>312</v>
      </c>
      <c r="D187" s="18"/>
      <c r="E187" s="18"/>
      <c r="F187" s="18"/>
      <c r="G187" s="18" t="str">
        <f aca="false">IF(COUNT(D187:F187)=3,SUM(D187:F187),"")</f>
        <v/>
      </c>
      <c r="H187" s="9"/>
    </row>
    <row r="188" customFormat="false" ht="15" hidden="false" customHeight="false" outlineLevel="0" collapsed="false">
      <c r="A188" s="18" t="s">
        <v>250</v>
      </c>
      <c r="B188" s="18" t="n">
        <v>5</v>
      </c>
      <c r="C188" s="18" t="s">
        <v>313</v>
      </c>
      <c r="D188" s="18"/>
      <c r="E188" s="18"/>
      <c r="F188" s="18"/>
      <c r="G188" s="18" t="str">
        <f aca="false">IF(COUNT(D188:F188)=3,SUM(D188:F188),"")</f>
        <v/>
      </c>
      <c r="H188" s="9"/>
    </row>
    <row r="189" customFormat="false" ht="15" hidden="false" customHeight="false" outlineLevel="0" collapsed="false">
      <c r="A189" s="18" t="s">
        <v>250</v>
      </c>
      <c r="B189" s="18" t="n">
        <v>5</v>
      </c>
      <c r="C189" s="18" t="s">
        <v>314</v>
      </c>
      <c r="D189" s="18"/>
      <c r="E189" s="18"/>
      <c r="F189" s="18"/>
      <c r="G189" s="18" t="str">
        <f aca="false">IF(COUNT(D189:F189)=3,SUM(D189:F189),"")</f>
        <v/>
      </c>
      <c r="H189" s="9"/>
    </row>
    <row r="190" customFormat="false" ht="15" hidden="false" customHeight="false" outlineLevel="0" collapsed="false">
      <c r="A190" s="18" t="s">
        <v>255</v>
      </c>
      <c r="B190" s="18" t="n">
        <v>5</v>
      </c>
      <c r="C190" s="18" t="s">
        <v>311</v>
      </c>
      <c r="D190" s="18"/>
      <c r="E190" s="18"/>
      <c r="F190" s="18"/>
      <c r="G190" s="18" t="str">
        <f aca="false">IF(COUNT(D190:F190)=3,SUM(D190:F190),"")</f>
        <v/>
      </c>
      <c r="H190" s="9"/>
    </row>
    <row r="191" customFormat="false" ht="15" hidden="false" customHeight="false" outlineLevel="0" collapsed="false">
      <c r="A191" s="18" t="s">
        <v>255</v>
      </c>
      <c r="B191" s="18" t="n">
        <v>5</v>
      </c>
      <c r="C191" s="18" t="s">
        <v>312</v>
      </c>
      <c r="D191" s="18"/>
      <c r="E191" s="18"/>
      <c r="F191" s="18"/>
      <c r="G191" s="18" t="str">
        <f aca="false">IF(COUNT(D191:F191)=3,SUM(D191:F191),"")</f>
        <v/>
      </c>
      <c r="H191" s="9"/>
    </row>
    <row r="192" customFormat="false" ht="15" hidden="false" customHeight="false" outlineLevel="0" collapsed="false">
      <c r="A192" s="18" t="s">
        <v>255</v>
      </c>
      <c r="B192" s="18" t="n">
        <v>5</v>
      </c>
      <c r="C192" s="18" t="s">
        <v>313</v>
      </c>
      <c r="D192" s="18"/>
      <c r="E192" s="18"/>
      <c r="F192" s="18"/>
      <c r="G192" s="18" t="str">
        <f aca="false">IF(COUNT(D192:F192)=3,SUM(D192:F192),"")</f>
        <v/>
      </c>
      <c r="H192" s="9"/>
    </row>
    <row r="193" customFormat="false" ht="15" hidden="false" customHeight="false" outlineLevel="0" collapsed="false">
      <c r="A193" s="18" t="s">
        <v>255</v>
      </c>
      <c r="B193" s="18" t="n">
        <v>5</v>
      </c>
      <c r="C193" s="18" t="s">
        <v>314</v>
      </c>
      <c r="D193" s="18"/>
      <c r="E193" s="18"/>
      <c r="F193" s="18"/>
      <c r="G193" s="18" t="str">
        <f aca="false">IF(COUNT(D193:F193)=3,SUM(D193:F193),"")</f>
        <v/>
      </c>
      <c r="H193" s="9"/>
    </row>
    <row r="194" customFormat="false" ht="15" hidden="false" customHeight="false" outlineLevel="0" collapsed="false">
      <c r="A194" s="18" t="s">
        <v>259</v>
      </c>
      <c r="B194" s="18" t="n">
        <v>5</v>
      </c>
      <c r="C194" s="18" t="s">
        <v>311</v>
      </c>
      <c r="D194" s="18"/>
      <c r="E194" s="18"/>
      <c r="F194" s="18"/>
      <c r="G194" s="18" t="str">
        <f aca="false">IF(COUNT(D194:F194)=3,SUM(D194:F194),"")</f>
        <v/>
      </c>
      <c r="H194" s="9"/>
    </row>
    <row r="195" customFormat="false" ht="15" hidden="false" customHeight="false" outlineLevel="0" collapsed="false">
      <c r="A195" s="18" t="s">
        <v>259</v>
      </c>
      <c r="B195" s="18" t="n">
        <v>5</v>
      </c>
      <c r="C195" s="18" t="s">
        <v>312</v>
      </c>
      <c r="D195" s="18"/>
      <c r="E195" s="18"/>
      <c r="F195" s="18"/>
      <c r="G195" s="18" t="str">
        <f aca="false">IF(COUNT(D195:F195)=3,SUM(D195:F195),"")</f>
        <v/>
      </c>
      <c r="H195" s="9"/>
    </row>
    <row r="196" customFormat="false" ht="15" hidden="false" customHeight="false" outlineLevel="0" collapsed="false">
      <c r="A196" s="18" t="s">
        <v>259</v>
      </c>
      <c r="B196" s="18" t="n">
        <v>5</v>
      </c>
      <c r="C196" s="18" t="s">
        <v>313</v>
      </c>
      <c r="D196" s="18"/>
      <c r="E196" s="18"/>
      <c r="F196" s="18"/>
      <c r="G196" s="18" t="str">
        <f aca="false">IF(COUNT(D196:F196)=3,SUM(D196:F196),"")</f>
        <v/>
      </c>
      <c r="H196" s="9"/>
    </row>
    <row r="197" customFormat="false" ht="15" hidden="false" customHeight="false" outlineLevel="0" collapsed="false">
      <c r="A197" s="18" t="s">
        <v>259</v>
      </c>
      <c r="B197" s="18" t="n">
        <v>5</v>
      </c>
      <c r="C197" s="18" t="s">
        <v>314</v>
      </c>
      <c r="D197" s="18"/>
      <c r="E197" s="18"/>
      <c r="F197" s="18"/>
      <c r="G197" s="18" t="str">
        <f aca="false">IF(COUNT(D197:F197)=3,SUM(D197:F197),"")</f>
        <v/>
      </c>
      <c r="H197" s="9"/>
    </row>
    <row r="198" customFormat="false" ht="15" hidden="false" customHeight="false" outlineLevel="0" collapsed="false">
      <c r="A198" s="18" t="s">
        <v>263</v>
      </c>
      <c r="B198" s="18" t="n">
        <v>5</v>
      </c>
      <c r="C198" s="18" t="s">
        <v>311</v>
      </c>
      <c r="D198" s="18"/>
      <c r="E198" s="18"/>
      <c r="F198" s="18"/>
      <c r="G198" s="18" t="str">
        <f aca="false">IF(COUNT(D198:F198)=3,SUM(D198:F198),"")</f>
        <v/>
      </c>
      <c r="H198" s="9"/>
    </row>
    <row r="199" customFormat="false" ht="15" hidden="false" customHeight="false" outlineLevel="0" collapsed="false">
      <c r="A199" s="18" t="s">
        <v>263</v>
      </c>
      <c r="B199" s="18" t="n">
        <v>5</v>
      </c>
      <c r="C199" s="18" t="s">
        <v>312</v>
      </c>
      <c r="D199" s="18"/>
      <c r="E199" s="18"/>
      <c r="F199" s="18"/>
      <c r="G199" s="18" t="str">
        <f aca="false">IF(COUNT(D199:F199)=3,SUM(D199:F199),"")</f>
        <v/>
      </c>
      <c r="H199" s="9"/>
    </row>
    <row r="200" customFormat="false" ht="15" hidden="false" customHeight="false" outlineLevel="0" collapsed="false">
      <c r="A200" s="18" t="s">
        <v>263</v>
      </c>
      <c r="B200" s="18" t="n">
        <v>5</v>
      </c>
      <c r="C200" s="18" t="s">
        <v>313</v>
      </c>
      <c r="D200" s="18"/>
      <c r="E200" s="18"/>
      <c r="F200" s="18"/>
      <c r="G200" s="18" t="str">
        <f aca="false">IF(COUNT(D200:F200)=3,SUM(D200:F200),"")</f>
        <v/>
      </c>
      <c r="H200" s="9"/>
    </row>
    <row r="201" customFormat="false" ht="15" hidden="false" customHeight="false" outlineLevel="0" collapsed="false">
      <c r="A201" s="18" t="s">
        <v>263</v>
      </c>
      <c r="B201" s="18" t="n">
        <v>5</v>
      </c>
      <c r="C201" s="18" t="s">
        <v>314</v>
      </c>
      <c r="D201" s="18"/>
      <c r="E201" s="18"/>
      <c r="F201" s="18"/>
      <c r="G201" s="18" t="str">
        <f aca="false">IF(COUNT(D201:F201)=3,SUM(D201:F201),"")</f>
        <v/>
      </c>
      <c r="H201"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6"/>
    <col collapsed="false" customWidth="true" hidden="false" outlineLevel="0" max="3" min="3" style="0" width="24"/>
    <col collapsed="false" customWidth="true" hidden="false" outlineLevel="0" max="5" min="4" style="0" width="15"/>
    <col collapsed="false" customWidth="true" hidden="false" outlineLevel="0" max="6" min="6" style="0" width="18"/>
    <col collapsed="false" customWidth="true" hidden="false" outlineLevel="0" max="7" min="7" style="0" width="11"/>
    <col collapsed="false" customWidth="true" hidden="false" outlineLevel="0" max="8" min="8" style="0" width="46"/>
  </cols>
  <sheetData>
    <row r="1" customFormat="false" ht="30" hidden="false" customHeight="true" outlineLevel="0" collapsed="false">
      <c r="A1" s="6" t="s">
        <v>46</v>
      </c>
      <c r="B1" s="6" t="s">
        <v>47</v>
      </c>
      <c r="C1" s="6" t="s">
        <v>308</v>
      </c>
      <c r="D1" s="6" t="s">
        <v>315</v>
      </c>
      <c r="E1" s="6" t="s">
        <v>316</v>
      </c>
      <c r="F1" s="6" t="s">
        <v>317</v>
      </c>
      <c r="G1" s="6" t="s">
        <v>318</v>
      </c>
      <c r="H1" s="6" t="s">
        <v>319</v>
      </c>
    </row>
    <row r="2" customFormat="false" ht="15" hidden="false" customHeight="false" outlineLevel="0" collapsed="false">
      <c r="A2" s="18" t="s">
        <v>54</v>
      </c>
      <c r="B2" s="18" t="n">
        <v>1</v>
      </c>
      <c r="C2" s="18" t="s">
        <v>311</v>
      </c>
      <c r="D2" s="18"/>
      <c r="E2" s="18"/>
      <c r="F2" s="18"/>
      <c r="G2" s="18" t="str">
        <f aca="false">IF(COUNT(D2:F2)=3,SUM(D2:F2),"")</f>
        <v/>
      </c>
      <c r="H2" s="9"/>
    </row>
    <row r="3" customFormat="false" ht="15" hidden="false" customHeight="false" outlineLevel="0" collapsed="false">
      <c r="A3" s="18" t="s">
        <v>54</v>
      </c>
      <c r="B3" s="18" t="n">
        <v>1</v>
      </c>
      <c r="C3" s="18" t="s">
        <v>312</v>
      </c>
      <c r="D3" s="18"/>
      <c r="E3" s="18"/>
      <c r="F3" s="18"/>
      <c r="G3" s="18" t="str">
        <f aca="false">IF(COUNT(D3:F3)=3,SUM(D3:F3),"")</f>
        <v/>
      </c>
      <c r="H3" s="9"/>
    </row>
    <row r="4" customFormat="false" ht="15" hidden="false" customHeight="false" outlineLevel="0" collapsed="false">
      <c r="A4" s="18" t="s">
        <v>54</v>
      </c>
      <c r="B4" s="18" t="n">
        <v>1</v>
      </c>
      <c r="C4" s="18" t="s">
        <v>313</v>
      </c>
      <c r="D4" s="18"/>
      <c r="E4" s="18"/>
      <c r="F4" s="18"/>
      <c r="G4" s="18" t="str">
        <f aca="false">IF(COUNT(D4:F4)=3,SUM(D4:F4),"")</f>
        <v/>
      </c>
      <c r="H4" s="9"/>
    </row>
    <row r="5" customFormat="false" ht="15" hidden="false" customHeight="false" outlineLevel="0" collapsed="false">
      <c r="A5" s="18" t="s">
        <v>54</v>
      </c>
      <c r="B5" s="18" t="n">
        <v>1</v>
      </c>
      <c r="C5" s="18" t="s">
        <v>314</v>
      </c>
      <c r="D5" s="18"/>
      <c r="E5" s="18"/>
      <c r="F5" s="18"/>
      <c r="G5" s="18" t="str">
        <f aca="false">IF(COUNT(D5:F5)=3,SUM(D5:F5),"")</f>
        <v/>
      </c>
      <c r="H5" s="9"/>
    </row>
    <row r="6" customFormat="false" ht="15" hidden="false" customHeight="false" outlineLevel="0" collapsed="false">
      <c r="A6" s="18" t="s">
        <v>61</v>
      </c>
      <c r="B6" s="18" t="n">
        <v>1</v>
      </c>
      <c r="C6" s="18" t="s">
        <v>311</v>
      </c>
      <c r="D6" s="18"/>
      <c r="E6" s="18"/>
      <c r="F6" s="18"/>
      <c r="G6" s="18" t="str">
        <f aca="false">IF(COUNT(D6:F6)=3,SUM(D6:F6),"")</f>
        <v/>
      </c>
      <c r="H6" s="9"/>
    </row>
    <row r="7" customFormat="false" ht="15" hidden="false" customHeight="false" outlineLevel="0" collapsed="false">
      <c r="A7" s="18" t="s">
        <v>61</v>
      </c>
      <c r="B7" s="18" t="n">
        <v>1</v>
      </c>
      <c r="C7" s="18" t="s">
        <v>312</v>
      </c>
      <c r="D7" s="18"/>
      <c r="E7" s="18"/>
      <c r="F7" s="18"/>
      <c r="G7" s="18" t="str">
        <f aca="false">IF(COUNT(D7:F7)=3,SUM(D7:F7),"")</f>
        <v/>
      </c>
      <c r="H7" s="9"/>
    </row>
    <row r="8" customFormat="false" ht="15" hidden="false" customHeight="false" outlineLevel="0" collapsed="false">
      <c r="A8" s="18" t="s">
        <v>61</v>
      </c>
      <c r="B8" s="18" t="n">
        <v>1</v>
      </c>
      <c r="C8" s="18" t="s">
        <v>313</v>
      </c>
      <c r="D8" s="18"/>
      <c r="E8" s="18"/>
      <c r="F8" s="18"/>
      <c r="G8" s="18" t="str">
        <f aca="false">IF(COUNT(D8:F8)=3,SUM(D8:F8),"")</f>
        <v/>
      </c>
      <c r="H8" s="9"/>
    </row>
    <row r="9" customFormat="false" ht="15" hidden="false" customHeight="false" outlineLevel="0" collapsed="false">
      <c r="A9" s="18" t="s">
        <v>61</v>
      </c>
      <c r="B9" s="18" t="n">
        <v>1</v>
      </c>
      <c r="C9" s="18" t="s">
        <v>314</v>
      </c>
      <c r="D9" s="18"/>
      <c r="E9" s="18"/>
      <c r="F9" s="18"/>
      <c r="G9" s="18" t="str">
        <f aca="false">IF(COUNT(D9:F9)=3,SUM(D9:F9),"")</f>
        <v/>
      </c>
      <c r="H9" s="9"/>
    </row>
    <row r="10" customFormat="false" ht="15" hidden="false" customHeight="false" outlineLevel="0" collapsed="false">
      <c r="A10" s="18" t="s">
        <v>66</v>
      </c>
      <c r="B10" s="18" t="n">
        <v>1</v>
      </c>
      <c r="C10" s="18" t="s">
        <v>311</v>
      </c>
      <c r="D10" s="18"/>
      <c r="E10" s="18"/>
      <c r="F10" s="18"/>
      <c r="G10" s="18" t="str">
        <f aca="false">IF(COUNT(D10:F10)=3,SUM(D10:F10),"")</f>
        <v/>
      </c>
      <c r="H10" s="9"/>
    </row>
    <row r="11" customFormat="false" ht="15" hidden="false" customHeight="false" outlineLevel="0" collapsed="false">
      <c r="A11" s="18" t="s">
        <v>66</v>
      </c>
      <c r="B11" s="18" t="n">
        <v>1</v>
      </c>
      <c r="C11" s="18" t="s">
        <v>312</v>
      </c>
      <c r="D11" s="18"/>
      <c r="E11" s="18"/>
      <c r="F11" s="18"/>
      <c r="G11" s="18" t="str">
        <f aca="false">IF(COUNT(D11:F11)=3,SUM(D11:F11),"")</f>
        <v/>
      </c>
      <c r="H11" s="9"/>
    </row>
    <row r="12" customFormat="false" ht="15" hidden="false" customHeight="false" outlineLevel="0" collapsed="false">
      <c r="A12" s="18" t="s">
        <v>66</v>
      </c>
      <c r="B12" s="18" t="n">
        <v>1</v>
      </c>
      <c r="C12" s="18" t="s">
        <v>313</v>
      </c>
      <c r="D12" s="18"/>
      <c r="E12" s="18"/>
      <c r="F12" s="18"/>
      <c r="G12" s="18" t="str">
        <f aca="false">IF(COUNT(D12:F12)=3,SUM(D12:F12),"")</f>
        <v/>
      </c>
      <c r="H12" s="9"/>
    </row>
    <row r="13" customFormat="false" ht="15" hidden="false" customHeight="false" outlineLevel="0" collapsed="false">
      <c r="A13" s="18" t="s">
        <v>66</v>
      </c>
      <c r="B13" s="18" t="n">
        <v>1</v>
      </c>
      <c r="C13" s="18" t="s">
        <v>314</v>
      </c>
      <c r="D13" s="18"/>
      <c r="E13" s="18"/>
      <c r="F13" s="18"/>
      <c r="G13" s="18" t="str">
        <f aca="false">IF(COUNT(D13:F13)=3,SUM(D13:F13),"")</f>
        <v/>
      </c>
      <c r="H13" s="9"/>
    </row>
    <row r="14" customFormat="false" ht="15" hidden="false" customHeight="false" outlineLevel="0" collapsed="false">
      <c r="A14" s="18" t="s">
        <v>70</v>
      </c>
      <c r="B14" s="18" t="n">
        <v>1</v>
      </c>
      <c r="C14" s="18" t="s">
        <v>311</v>
      </c>
      <c r="D14" s="18"/>
      <c r="E14" s="18"/>
      <c r="F14" s="18"/>
      <c r="G14" s="18" t="str">
        <f aca="false">IF(COUNT(D14:F14)=3,SUM(D14:F14),"")</f>
        <v/>
      </c>
      <c r="H14" s="9"/>
    </row>
    <row r="15" customFormat="false" ht="15" hidden="false" customHeight="false" outlineLevel="0" collapsed="false">
      <c r="A15" s="18" t="s">
        <v>70</v>
      </c>
      <c r="B15" s="18" t="n">
        <v>1</v>
      </c>
      <c r="C15" s="18" t="s">
        <v>312</v>
      </c>
      <c r="D15" s="18"/>
      <c r="E15" s="18"/>
      <c r="F15" s="18"/>
      <c r="G15" s="18" t="str">
        <f aca="false">IF(COUNT(D15:F15)=3,SUM(D15:F15),"")</f>
        <v/>
      </c>
      <c r="H15" s="9"/>
    </row>
    <row r="16" customFormat="false" ht="15" hidden="false" customHeight="false" outlineLevel="0" collapsed="false">
      <c r="A16" s="18" t="s">
        <v>70</v>
      </c>
      <c r="B16" s="18" t="n">
        <v>1</v>
      </c>
      <c r="C16" s="18" t="s">
        <v>313</v>
      </c>
      <c r="D16" s="18"/>
      <c r="E16" s="18"/>
      <c r="F16" s="18"/>
      <c r="G16" s="18" t="str">
        <f aca="false">IF(COUNT(D16:F16)=3,SUM(D16:F16),"")</f>
        <v/>
      </c>
      <c r="H16" s="9"/>
    </row>
    <row r="17" customFormat="false" ht="15" hidden="false" customHeight="false" outlineLevel="0" collapsed="false">
      <c r="A17" s="18" t="s">
        <v>70</v>
      </c>
      <c r="B17" s="18" t="n">
        <v>1</v>
      </c>
      <c r="C17" s="18" t="s">
        <v>314</v>
      </c>
      <c r="D17" s="18"/>
      <c r="E17" s="18"/>
      <c r="F17" s="18"/>
      <c r="G17" s="18" t="str">
        <f aca="false">IF(COUNT(D17:F17)=3,SUM(D17:F17),"")</f>
        <v/>
      </c>
      <c r="H17" s="9"/>
    </row>
    <row r="18" customFormat="false" ht="15" hidden="false" customHeight="false" outlineLevel="0" collapsed="false">
      <c r="A18" s="18" t="s">
        <v>75</v>
      </c>
      <c r="B18" s="18" t="n">
        <v>1</v>
      </c>
      <c r="C18" s="18" t="s">
        <v>311</v>
      </c>
      <c r="D18" s="18"/>
      <c r="E18" s="18"/>
      <c r="F18" s="18"/>
      <c r="G18" s="18" t="str">
        <f aca="false">IF(COUNT(D18:F18)=3,SUM(D18:F18),"")</f>
        <v/>
      </c>
      <c r="H18" s="9"/>
    </row>
    <row r="19" customFormat="false" ht="15" hidden="false" customHeight="false" outlineLevel="0" collapsed="false">
      <c r="A19" s="18" t="s">
        <v>75</v>
      </c>
      <c r="B19" s="18" t="n">
        <v>1</v>
      </c>
      <c r="C19" s="18" t="s">
        <v>312</v>
      </c>
      <c r="D19" s="18"/>
      <c r="E19" s="18"/>
      <c r="F19" s="18"/>
      <c r="G19" s="18" t="str">
        <f aca="false">IF(COUNT(D19:F19)=3,SUM(D19:F19),"")</f>
        <v/>
      </c>
      <c r="H19" s="9"/>
    </row>
    <row r="20" customFormat="false" ht="15" hidden="false" customHeight="false" outlineLevel="0" collapsed="false">
      <c r="A20" s="18" t="s">
        <v>75</v>
      </c>
      <c r="B20" s="18" t="n">
        <v>1</v>
      </c>
      <c r="C20" s="18" t="s">
        <v>313</v>
      </c>
      <c r="D20" s="18"/>
      <c r="E20" s="18"/>
      <c r="F20" s="18"/>
      <c r="G20" s="18" t="str">
        <f aca="false">IF(COUNT(D20:F20)=3,SUM(D20:F20),"")</f>
        <v/>
      </c>
      <c r="H20" s="9"/>
    </row>
    <row r="21" customFormat="false" ht="15" hidden="false" customHeight="false" outlineLevel="0" collapsed="false">
      <c r="A21" s="18" t="s">
        <v>75</v>
      </c>
      <c r="B21" s="18" t="n">
        <v>1</v>
      </c>
      <c r="C21" s="18" t="s">
        <v>314</v>
      </c>
      <c r="D21" s="18"/>
      <c r="E21" s="18"/>
      <c r="F21" s="18"/>
      <c r="G21" s="18" t="str">
        <f aca="false">IF(COUNT(D21:F21)=3,SUM(D21:F21),"")</f>
        <v/>
      </c>
      <c r="H21" s="9"/>
    </row>
    <row r="22" customFormat="false" ht="15" hidden="false" customHeight="false" outlineLevel="0" collapsed="false">
      <c r="A22" s="18" t="s">
        <v>80</v>
      </c>
      <c r="B22" s="18" t="n">
        <v>1</v>
      </c>
      <c r="C22" s="18" t="s">
        <v>311</v>
      </c>
      <c r="D22" s="18"/>
      <c r="E22" s="18"/>
      <c r="F22" s="18"/>
      <c r="G22" s="18" t="str">
        <f aca="false">IF(COUNT(D22:F22)=3,SUM(D22:F22),"")</f>
        <v/>
      </c>
      <c r="H22" s="9"/>
    </row>
    <row r="23" customFormat="false" ht="15" hidden="false" customHeight="false" outlineLevel="0" collapsed="false">
      <c r="A23" s="18" t="s">
        <v>80</v>
      </c>
      <c r="B23" s="18" t="n">
        <v>1</v>
      </c>
      <c r="C23" s="18" t="s">
        <v>312</v>
      </c>
      <c r="D23" s="18"/>
      <c r="E23" s="18"/>
      <c r="F23" s="18"/>
      <c r="G23" s="18" t="str">
        <f aca="false">IF(COUNT(D23:F23)=3,SUM(D23:F23),"")</f>
        <v/>
      </c>
      <c r="H23" s="9"/>
    </row>
    <row r="24" customFormat="false" ht="15" hidden="false" customHeight="false" outlineLevel="0" collapsed="false">
      <c r="A24" s="18" t="s">
        <v>80</v>
      </c>
      <c r="B24" s="18" t="n">
        <v>1</v>
      </c>
      <c r="C24" s="18" t="s">
        <v>313</v>
      </c>
      <c r="D24" s="18"/>
      <c r="E24" s="18"/>
      <c r="F24" s="18"/>
      <c r="G24" s="18" t="str">
        <f aca="false">IF(COUNT(D24:F24)=3,SUM(D24:F24),"")</f>
        <v/>
      </c>
      <c r="H24" s="9"/>
    </row>
    <row r="25" customFormat="false" ht="15" hidden="false" customHeight="false" outlineLevel="0" collapsed="false">
      <c r="A25" s="18" t="s">
        <v>80</v>
      </c>
      <c r="B25" s="18" t="n">
        <v>1</v>
      </c>
      <c r="C25" s="18" t="s">
        <v>314</v>
      </c>
      <c r="D25" s="18"/>
      <c r="E25" s="18"/>
      <c r="F25" s="18"/>
      <c r="G25" s="18" t="str">
        <f aca="false">IF(COUNT(D25:F25)=3,SUM(D25:F25),"")</f>
        <v/>
      </c>
      <c r="H25" s="9"/>
    </row>
    <row r="26" customFormat="false" ht="15" hidden="false" customHeight="false" outlineLevel="0" collapsed="false">
      <c r="A26" s="18" t="s">
        <v>85</v>
      </c>
      <c r="B26" s="18" t="n">
        <v>1</v>
      </c>
      <c r="C26" s="18" t="s">
        <v>311</v>
      </c>
      <c r="D26" s="18"/>
      <c r="E26" s="18"/>
      <c r="F26" s="18"/>
      <c r="G26" s="18" t="str">
        <f aca="false">IF(COUNT(D26:F26)=3,SUM(D26:F26),"")</f>
        <v/>
      </c>
      <c r="H26" s="9"/>
    </row>
    <row r="27" customFormat="false" ht="15" hidden="false" customHeight="false" outlineLevel="0" collapsed="false">
      <c r="A27" s="18" t="s">
        <v>85</v>
      </c>
      <c r="B27" s="18" t="n">
        <v>1</v>
      </c>
      <c r="C27" s="18" t="s">
        <v>312</v>
      </c>
      <c r="D27" s="18"/>
      <c r="E27" s="18"/>
      <c r="F27" s="18"/>
      <c r="G27" s="18" t="str">
        <f aca="false">IF(COUNT(D27:F27)=3,SUM(D27:F27),"")</f>
        <v/>
      </c>
      <c r="H27" s="9"/>
    </row>
    <row r="28" customFormat="false" ht="15" hidden="false" customHeight="false" outlineLevel="0" collapsed="false">
      <c r="A28" s="18" t="s">
        <v>85</v>
      </c>
      <c r="B28" s="18" t="n">
        <v>1</v>
      </c>
      <c r="C28" s="18" t="s">
        <v>313</v>
      </c>
      <c r="D28" s="18"/>
      <c r="E28" s="18"/>
      <c r="F28" s="18"/>
      <c r="G28" s="18" t="str">
        <f aca="false">IF(COUNT(D28:F28)=3,SUM(D28:F28),"")</f>
        <v/>
      </c>
      <c r="H28" s="9"/>
    </row>
    <row r="29" customFormat="false" ht="15" hidden="false" customHeight="false" outlineLevel="0" collapsed="false">
      <c r="A29" s="18" t="s">
        <v>85</v>
      </c>
      <c r="B29" s="18" t="n">
        <v>1</v>
      </c>
      <c r="C29" s="18" t="s">
        <v>314</v>
      </c>
      <c r="D29" s="18"/>
      <c r="E29" s="18"/>
      <c r="F29" s="18"/>
      <c r="G29" s="18" t="str">
        <f aca="false">IF(COUNT(D29:F29)=3,SUM(D29:F29),"")</f>
        <v/>
      </c>
      <c r="H29" s="9"/>
    </row>
    <row r="30" customFormat="false" ht="15" hidden="false" customHeight="false" outlineLevel="0" collapsed="false">
      <c r="A30" s="18" t="s">
        <v>89</v>
      </c>
      <c r="B30" s="18" t="n">
        <v>1</v>
      </c>
      <c r="C30" s="18" t="s">
        <v>311</v>
      </c>
      <c r="D30" s="18"/>
      <c r="E30" s="18"/>
      <c r="F30" s="18"/>
      <c r="G30" s="18" t="str">
        <f aca="false">IF(COUNT(D30:F30)=3,SUM(D30:F30),"")</f>
        <v/>
      </c>
      <c r="H30" s="9"/>
    </row>
    <row r="31" customFormat="false" ht="15" hidden="false" customHeight="false" outlineLevel="0" collapsed="false">
      <c r="A31" s="18" t="s">
        <v>89</v>
      </c>
      <c r="B31" s="18" t="n">
        <v>1</v>
      </c>
      <c r="C31" s="18" t="s">
        <v>312</v>
      </c>
      <c r="D31" s="18"/>
      <c r="E31" s="18"/>
      <c r="F31" s="18"/>
      <c r="G31" s="18" t="str">
        <f aca="false">IF(COUNT(D31:F31)=3,SUM(D31:F31),"")</f>
        <v/>
      </c>
      <c r="H31" s="9"/>
    </row>
    <row r="32" customFormat="false" ht="15" hidden="false" customHeight="false" outlineLevel="0" collapsed="false">
      <c r="A32" s="18" t="s">
        <v>89</v>
      </c>
      <c r="B32" s="18" t="n">
        <v>1</v>
      </c>
      <c r="C32" s="18" t="s">
        <v>313</v>
      </c>
      <c r="D32" s="18"/>
      <c r="E32" s="18"/>
      <c r="F32" s="18"/>
      <c r="G32" s="18" t="str">
        <f aca="false">IF(COUNT(D32:F32)=3,SUM(D32:F32),"")</f>
        <v/>
      </c>
      <c r="H32" s="9"/>
    </row>
    <row r="33" customFormat="false" ht="15" hidden="false" customHeight="false" outlineLevel="0" collapsed="false">
      <c r="A33" s="18" t="s">
        <v>89</v>
      </c>
      <c r="B33" s="18" t="n">
        <v>1</v>
      </c>
      <c r="C33" s="18" t="s">
        <v>314</v>
      </c>
      <c r="D33" s="18"/>
      <c r="E33" s="18"/>
      <c r="F33" s="18"/>
      <c r="G33" s="18" t="str">
        <f aca="false">IF(COUNT(D33:F33)=3,SUM(D33:F33),"")</f>
        <v/>
      </c>
      <c r="H33" s="9"/>
    </row>
    <row r="34" customFormat="false" ht="15" hidden="false" customHeight="false" outlineLevel="0" collapsed="false">
      <c r="A34" s="18" t="s">
        <v>94</v>
      </c>
      <c r="B34" s="18" t="n">
        <v>1</v>
      </c>
      <c r="C34" s="18" t="s">
        <v>311</v>
      </c>
      <c r="D34" s="18"/>
      <c r="E34" s="18"/>
      <c r="F34" s="18"/>
      <c r="G34" s="18" t="str">
        <f aca="false">IF(COUNT(D34:F34)=3,SUM(D34:F34),"")</f>
        <v/>
      </c>
      <c r="H34" s="9"/>
    </row>
    <row r="35" customFormat="false" ht="15" hidden="false" customHeight="false" outlineLevel="0" collapsed="false">
      <c r="A35" s="18" t="s">
        <v>94</v>
      </c>
      <c r="B35" s="18" t="n">
        <v>1</v>
      </c>
      <c r="C35" s="18" t="s">
        <v>312</v>
      </c>
      <c r="D35" s="18"/>
      <c r="E35" s="18"/>
      <c r="F35" s="18"/>
      <c r="G35" s="18" t="str">
        <f aca="false">IF(COUNT(D35:F35)=3,SUM(D35:F35),"")</f>
        <v/>
      </c>
      <c r="H35" s="9"/>
    </row>
    <row r="36" customFormat="false" ht="15" hidden="false" customHeight="false" outlineLevel="0" collapsed="false">
      <c r="A36" s="18" t="s">
        <v>94</v>
      </c>
      <c r="B36" s="18" t="n">
        <v>1</v>
      </c>
      <c r="C36" s="18" t="s">
        <v>313</v>
      </c>
      <c r="D36" s="18"/>
      <c r="E36" s="18"/>
      <c r="F36" s="18"/>
      <c r="G36" s="18" t="str">
        <f aca="false">IF(COUNT(D36:F36)=3,SUM(D36:F36),"")</f>
        <v/>
      </c>
      <c r="H36" s="9"/>
    </row>
    <row r="37" customFormat="false" ht="15" hidden="false" customHeight="false" outlineLevel="0" collapsed="false">
      <c r="A37" s="18" t="s">
        <v>94</v>
      </c>
      <c r="B37" s="18" t="n">
        <v>1</v>
      </c>
      <c r="C37" s="18" t="s">
        <v>314</v>
      </c>
      <c r="D37" s="18"/>
      <c r="E37" s="18"/>
      <c r="F37" s="18"/>
      <c r="G37" s="18" t="str">
        <f aca="false">IF(COUNT(D37:F37)=3,SUM(D37:F37),"")</f>
        <v/>
      </c>
      <c r="H37" s="9"/>
    </row>
    <row r="38" customFormat="false" ht="15" hidden="false" customHeight="false" outlineLevel="0" collapsed="false">
      <c r="A38" s="18" t="s">
        <v>98</v>
      </c>
      <c r="B38" s="18" t="n">
        <v>1</v>
      </c>
      <c r="C38" s="18" t="s">
        <v>311</v>
      </c>
      <c r="D38" s="18"/>
      <c r="E38" s="18"/>
      <c r="F38" s="18"/>
      <c r="G38" s="18" t="str">
        <f aca="false">IF(COUNT(D38:F38)=3,SUM(D38:F38),"")</f>
        <v/>
      </c>
      <c r="H38" s="9"/>
    </row>
    <row r="39" customFormat="false" ht="15" hidden="false" customHeight="false" outlineLevel="0" collapsed="false">
      <c r="A39" s="18" t="s">
        <v>98</v>
      </c>
      <c r="B39" s="18" t="n">
        <v>1</v>
      </c>
      <c r="C39" s="18" t="s">
        <v>312</v>
      </c>
      <c r="D39" s="18"/>
      <c r="E39" s="18"/>
      <c r="F39" s="18"/>
      <c r="G39" s="18" t="str">
        <f aca="false">IF(COUNT(D39:F39)=3,SUM(D39:F39),"")</f>
        <v/>
      </c>
      <c r="H39" s="9"/>
    </row>
    <row r="40" customFormat="false" ht="15" hidden="false" customHeight="false" outlineLevel="0" collapsed="false">
      <c r="A40" s="18" t="s">
        <v>98</v>
      </c>
      <c r="B40" s="18" t="n">
        <v>1</v>
      </c>
      <c r="C40" s="18" t="s">
        <v>313</v>
      </c>
      <c r="D40" s="18"/>
      <c r="E40" s="18"/>
      <c r="F40" s="18"/>
      <c r="G40" s="18" t="str">
        <f aca="false">IF(COUNT(D40:F40)=3,SUM(D40:F40),"")</f>
        <v/>
      </c>
      <c r="H40" s="9"/>
    </row>
    <row r="41" customFormat="false" ht="15" hidden="false" customHeight="false" outlineLevel="0" collapsed="false">
      <c r="A41" s="18" t="s">
        <v>98</v>
      </c>
      <c r="B41" s="18" t="n">
        <v>1</v>
      </c>
      <c r="C41" s="18" t="s">
        <v>314</v>
      </c>
      <c r="D41" s="18"/>
      <c r="E41" s="18"/>
      <c r="F41" s="18"/>
      <c r="G41" s="18" t="str">
        <f aca="false">IF(COUNT(D41:F41)=3,SUM(D41:F41),"")</f>
        <v/>
      </c>
      <c r="H41" s="9"/>
    </row>
    <row r="42" customFormat="false" ht="15" hidden="false" customHeight="false" outlineLevel="0" collapsed="false">
      <c r="A42" s="18" t="s">
        <v>103</v>
      </c>
      <c r="B42" s="18" t="n">
        <v>2</v>
      </c>
      <c r="C42" s="18" t="s">
        <v>311</v>
      </c>
      <c r="D42" s="18"/>
      <c r="E42" s="18"/>
      <c r="F42" s="18"/>
      <c r="G42" s="18" t="str">
        <f aca="false">IF(COUNT(D42:F42)=3,SUM(D42:F42),"")</f>
        <v/>
      </c>
      <c r="H42" s="9"/>
    </row>
    <row r="43" customFormat="false" ht="15" hidden="false" customHeight="false" outlineLevel="0" collapsed="false">
      <c r="A43" s="18" t="s">
        <v>103</v>
      </c>
      <c r="B43" s="18" t="n">
        <v>2</v>
      </c>
      <c r="C43" s="18" t="s">
        <v>312</v>
      </c>
      <c r="D43" s="18"/>
      <c r="E43" s="18"/>
      <c r="F43" s="18"/>
      <c r="G43" s="18" t="str">
        <f aca="false">IF(COUNT(D43:F43)=3,SUM(D43:F43),"")</f>
        <v/>
      </c>
      <c r="H43" s="9"/>
    </row>
    <row r="44" customFormat="false" ht="15" hidden="false" customHeight="false" outlineLevel="0" collapsed="false">
      <c r="A44" s="18" t="s">
        <v>103</v>
      </c>
      <c r="B44" s="18" t="n">
        <v>2</v>
      </c>
      <c r="C44" s="18" t="s">
        <v>313</v>
      </c>
      <c r="D44" s="18"/>
      <c r="E44" s="18"/>
      <c r="F44" s="18"/>
      <c r="G44" s="18" t="str">
        <f aca="false">IF(COUNT(D44:F44)=3,SUM(D44:F44),"")</f>
        <v/>
      </c>
      <c r="H44" s="9"/>
    </row>
    <row r="45" customFormat="false" ht="15" hidden="false" customHeight="false" outlineLevel="0" collapsed="false">
      <c r="A45" s="18" t="s">
        <v>103</v>
      </c>
      <c r="B45" s="18" t="n">
        <v>2</v>
      </c>
      <c r="C45" s="18" t="s">
        <v>314</v>
      </c>
      <c r="D45" s="18"/>
      <c r="E45" s="18"/>
      <c r="F45" s="18"/>
      <c r="G45" s="18" t="str">
        <f aca="false">IF(COUNT(D45:F45)=3,SUM(D45:F45),"")</f>
        <v/>
      </c>
      <c r="H45" s="9"/>
    </row>
    <row r="46" customFormat="false" ht="15" hidden="false" customHeight="false" outlineLevel="0" collapsed="false">
      <c r="A46" s="18" t="s">
        <v>108</v>
      </c>
      <c r="B46" s="18" t="n">
        <v>2</v>
      </c>
      <c r="C46" s="18" t="s">
        <v>311</v>
      </c>
      <c r="D46" s="18"/>
      <c r="E46" s="18"/>
      <c r="F46" s="18"/>
      <c r="G46" s="18" t="str">
        <f aca="false">IF(COUNT(D46:F46)=3,SUM(D46:F46),"")</f>
        <v/>
      </c>
      <c r="H46" s="9"/>
    </row>
    <row r="47" customFormat="false" ht="15" hidden="false" customHeight="false" outlineLevel="0" collapsed="false">
      <c r="A47" s="18" t="s">
        <v>108</v>
      </c>
      <c r="B47" s="18" t="n">
        <v>2</v>
      </c>
      <c r="C47" s="18" t="s">
        <v>312</v>
      </c>
      <c r="D47" s="18"/>
      <c r="E47" s="18"/>
      <c r="F47" s="18"/>
      <c r="G47" s="18" t="str">
        <f aca="false">IF(COUNT(D47:F47)=3,SUM(D47:F47),"")</f>
        <v/>
      </c>
      <c r="H47" s="9"/>
    </row>
    <row r="48" customFormat="false" ht="15" hidden="false" customHeight="false" outlineLevel="0" collapsed="false">
      <c r="A48" s="18" t="s">
        <v>108</v>
      </c>
      <c r="B48" s="18" t="n">
        <v>2</v>
      </c>
      <c r="C48" s="18" t="s">
        <v>313</v>
      </c>
      <c r="D48" s="18"/>
      <c r="E48" s="18"/>
      <c r="F48" s="18"/>
      <c r="G48" s="18" t="str">
        <f aca="false">IF(COUNT(D48:F48)=3,SUM(D48:F48),"")</f>
        <v/>
      </c>
      <c r="H48" s="9"/>
    </row>
    <row r="49" customFormat="false" ht="15" hidden="false" customHeight="false" outlineLevel="0" collapsed="false">
      <c r="A49" s="18" t="s">
        <v>108</v>
      </c>
      <c r="B49" s="18" t="n">
        <v>2</v>
      </c>
      <c r="C49" s="18" t="s">
        <v>314</v>
      </c>
      <c r="D49" s="18"/>
      <c r="E49" s="18"/>
      <c r="F49" s="18"/>
      <c r="G49" s="18" t="str">
        <f aca="false">IF(COUNT(D49:F49)=3,SUM(D49:F49),"")</f>
        <v/>
      </c>
      <c r="H49" s="9"/>
    </row>
    <row r="50" customFormat="false" ht="15" hidden="false" customHeight="false" outlineLevel="0" collapsed="false">
      <c r="A50" s="18" t="s">
        <v>112</v>
      </c>
      <c r="B50" s="18" t="n">
        <v>2</v>
      </c>
      <c r="C50" s="18" t="s">
        <v>311</v>
      </c>
      <c r="D50" s="18"/>
      <c r="E50" s="18"/>
      <c r="F50" s="18"/>
      <c r="G50" s="18" t="str">
        <f aca="false">IF(COUNT(D50:F50)=3,SUM(D50:F50),"")</f>
        <v/>
      </c>
      <c r="H50" s="9"/>
    </row>
    <row r="51" customFormat="false" ht="15" hidden="false" customHeight="false" outlineLevel="0" collapsed="false">
      <c r="A51" s="18" t="s">
        <v>112</v>
      </c>
      <c r="B51" s="18" t="n">
        <v>2</v>
      </c>
      <c r="C51" s="18" t="s">
        <v>312</v>
      </c>
      <c r="D51" s="18"/>
      <c r="E51" s="18"/>
      <c r="F51" s="18"/>
      <c r="G51" s="18" t="str">
        <f aca="false">IF(COUNT(D51:F51)=3,SUM(D51:F51),"")</f>
        <v/>
      </c>
      <c r="H51" s="9"/>
    </row>
    <row r="52" customFormat="false" ht="15" hidden="false" customHeight="false" outlineLevel="0" collapsed="false">
      <c r="A52" s="18" t="s">
        <v>112</v>
      </c>
      <c r="B52" s="18" t="n">
        <v>2</v>
      </c>
      <c r="C52" s="18" t="s">
        <v>313</v>
      </c>
      <c r="D52" s="18"/>
      <c r="E52" s="18"/>
      <c r="F52" s="18"/>
      <c r="G52" s="18" t="str">
        <f aca="false">IF(COUNT(D52:F52)=3,SUM(D52:F52),"")</f>
        <v/>
      </c>
      <c r="H52" s="9"/>
    </row>
    <row r="53" customFormat="false" ht="15" hidden="false" customHeight="false" outlineLevel="0" collapsed="false">
      <c r="A53" s="18" t="s">
        <v>112</v>
      </c>
      <c r="B53" s="18" t="n">
        <v>2</v>
      </c>
      <c r="C53" s="18" t="s">
        <v>314</v>
      </c>
      <c r="D53" s="18"/>
      <c r="E53" s="18"/>
      <c r="F53" s="18"/>
      <c r="G53" s="18" t="str">
        <f aca="false">IF(COUNT(D53:F53)=3,SUM(D53:F53),"")</f>
        <v/>
      </c>
      <c r="H53" s="9"/>
    </row>
    <row r="54" customFormat="false" ht="15" hidden="false" customHeight="false" outlineLevel="0" collapsed="false">
      <c r="A54" s="18" t="s">
        <v>116</v>
      </c>
      <c r="B54" s="18" t="n">
        <v>2</v>
      </c>
      <c r="C54" s="18" t="s">
        <v>311</v>
      </c>
      <c r="D54" s="18"/>
      <c r="E54" s="18"/>
      <c r="F54" s="18"/>
      <c r="G54" s="18" t="str">
        <f aca="false">IF(COUNT(D54:F54)=3,SUM(D54:F54),"")</f>
        <v/>
      </c>
      <c r="H54" s="9"/>
    </row>
    <row r="55" customFormat="false" ht="15" hidden="false" customHeight="false" outlineLevel="0" collapsed="false">
      <c r="A55" s="18" t="s">
        <v>116</v>
      </c>
      <c r="B55" s="18" t="n">
        <v>2</v>
      </c>
      <c r="C55" s="18" t="s">
        <v>312</v>
      </c>
      <c r="D55" s="18"/>
      <c r="E55" s="18"/>
      <c r="F55" s="18"/>
      <c r="G55" s="18" t="str">
        <f aca="false">IF(COUNT(D55:F55)=3,SUM(D55:F55),"")</f>
        <v/>
      </c>
      <c r="H55" s="9"/>
    </row>
    <row r="56" customFormat="false" ht="15" hidden="false" customHeight="false" outlineLevel="0" collapsed="false">
      <c r="A56" s="18" t="s">
        <v>116</v>
      </c>
      <c r="B56" s="18" t="n">
        <v>2</v>
      </c>
      <c r="C56" s="18" t="s">
        <v>313</v>
      </c>
      <c r="D56" s="18"/>
      <c r="E56" s="18"/>
      <c r="F56" s="18"/>
      <c r="G56" s="18" t="str">
        <f aca="false">IF(COUNT(D56:F56)=3,SUM(D56:F56),"")</f>
        <v/>
      </c>
      <c r="H56" s="9"/>
    </row>
    <row r="57" customFormat="false" ht="15" hidden="false" customHeight="false" outlineLevel="0" collapsed="false">
      <c r="A57" s="18" t="s">
        <v>116</v>
      </c>
      <c r="B57" s="18" t="n">
        <v>2</v>
      </c>
      <c r="C57" s="18" t="s">
        <v>314</v>
      </c>
      <c r="D57" s="18"/>
      <c r="E57" s="18"/>
      <c r="F57" s="18"/>
      <c r="G57" s="18" t="str">
        <f aca="false">IF(COUNT(D57:F57)=3,SUM(D57:F57),"")</f>
        <v/>
      </c>
      <c r="H57" s="9"/>
    </row>
    <row r="58" customFormat="false" ht="15" hidden="false" customHeight="false" outlineLevel="0" collapsed="false">
      <c r="A58" s="18" t="s">
        <v>121</v>
      </c>
      <c r="B58" s="18" t="n">
        <v>2</v>
      </c>
      <c r="C58" s="18" t="s">
        <v>311</v>
      </c>
      <c r="D58" s="18"/>
      <c r="E58" s="18"/>
      <c r="F58" s="18"/>
      <c r="G58" s="18" t="str">
        <f aca="false">IF(COUNT(D58:F58)=3,SUM(D58:F58),"")</f>
        <v/>
      </c>
      <c r="H58" s="9"/>
    </row>
    <row r="59" customFormat="false" ht="15" hidden="false" customHeight="false" outlineLevel="0" collapsed="false">
      <c r="A59" s="18" t="s">
        <v>121</v>
      </c>
      <c r="B59" s="18" t="n">
        <v>2</v>
      </c>
      <c r="C59" s="18" t="s">
        <v>312</v>
      </c>
      <c r="D59" s="18"/>
      <c r="E59" s="18"/>
      <c r="F59" s="18"/>
      <c r="G59" s="18" t="str">
        <f aca="false">IF(COUNT(D59:F59)=3,SUM(D59:F59),"")</f>
        <v/>
      </c>
      <c r="H59" s="9"/>
    </row>
    <row r="60" customFormat="false" ht="15" hidden="false" customHeight="false" outlineLevel="0" collapsed="false">
      <c r="A60" s="18" t="s">
        <v>121</v>
      </c>
      <c r="B60" s="18" t="n">
        <v>2</v>
      </c>
      <c r="C60" s="18" t="s">
        <v>313</v>
      </c>
      <c r="D60" s="18"/>
      <c r="E60" s="18"/>
      <c r="F60" s="18"/>
      <c r="G60" s="18" t="str">
        <f aca="false">IF(COUNT(D60:F60)=3,SUM(D60:F60),"")</f>
        <v/>
      </c>
      <c r="H60" s="9"/>
    </row>
    <row r="61" customFormat="false" ht="15" hidden="false" customHeight="false" outlineLevel="0" collapsed="false">
      <c r="A61" s="18" t="s">
        <v>121</v>
      </c>
      <c r="B61" s="18" t="n">
        <v>2</v>
      </c>
      <c r="C61" s="18" t="s">
        <v>314</v>
      </c>
      <c r="D61" s="18"/>
      <c r="E61" s="18"/>
      <c r="F61" s="18"/>
      <c r="G61" s="18" t="str">
        <f aca="false">IF(COUNT(D61:F61)=3,SUM(D61:F61),"")</f>
        <v/>
      </c>
      <c r="H61" s="9"/>
    </row>
    <row r="62" customFormat="false" ht="15" hidden="false" customHeight="false" outlineLevel="0" collapsed="false">
      <c r="A62" s="18" t="s">
        <v>125</v>
      </c>
      <c r="B62" s="18" t="n">
        <v>2</v>
      </c>
      <c r="C62" s="18" t="s">
        <v>311</v>
      </c>
      <c r="D62" s="18"/>
      <c r="E62" s="18"/>
      <c r="F62" s="18"/>
      <c r="G62" s="18" t="str">
        <f aca="false">IF(COUNT(D62:F62)=3,SUM(D62:F62),"")</f>
        <v/>
      </c>
      <c r="H62" s="9"/>
    </row>
    <row r="63" customFormat="false" ht="15" hidden="false" customHeight="false" outlineLevel="0" collapsed="false">
      <c r="A63" s="18" t="s">
        <v>125</v>
      </c>
      <c r="B63" s="18" t="n">
        <v>2</v>
      </c>
      <c r="C63" s="18" t="s">
        <v>312</v>
      </c>
      <c r="D63" s="18"/>
      <c r="E63" s="18"/>
      <c r="F63" s="18"/>
      <c r="G63" s="18" t="str">
        <f aca="false">IF(COUNT(D63:F63)=3,SUM(D63:F63),"")</f>
        <v/>
      </c>
      <c r="H63" s="9"/>
    </row>
    <row r="64" customFormat="false" ht="15" hidden="false" customHeight="false" outlineLevel="0" collapsed="false">
      <c r="A64" s="18" t="s">
        <v>125</v>
      </c>
      <c r="B64" s="18" t="n">
        <v>2</v>
      </c>
      <c r="C64" s="18" t="s">
        <v>313</v>
      </c>
      <c r="D64" s="18"/>
      <c r="E64" s="18"/>
      <c r="F64" s="18"/>
      <c r="G64" s="18" t="str">
        <f aca="false">IF(COUNT(D64:F64)=3,SUM(D64:F64),"")</f>
        <v/>
      </c>
      <c r="H64" s="9"/>
    </row>
    <row r="65" customFormat="false" ht="15" hidden="false" customHeight="false" outlineLevel="0" collapsed="false">
      <c r="A65" s="18" t="s">
        <v>125</v>
      </c>
      <c r="B65" s="18" t="n">
        <v>2</v>
      </c>
      <c r="C65" s="18" t="s">
        <v>314</v>
      </c>
      <c r="D65" s="18"/>
      <c r="E65" s="18"/>
      <c r="F65" s="18"/>
      <c r="G65" s="18" t="str">
        <f aca="false">IF(COUNT(D65:F65)=3,SUM(D65:F65),"")</f>
        <v/>
      </c>
      <c r="H65" s="9"/>
    </row>
    <row r="66" customFormat="false" ht="15" hidden="false" customHeight="false" outlineLevel="0" collapsed="false">
      <c r="A66" s="18" t="s">
        <v>129</v>
      </c>
      <c r="B66" s="18" t="n">
        <v>2</v>
      </c>
      <c r="C66" s="18" t="s">
        <v>311</v>
      </c>
      <c r="D66" s="18"/>
      <c r="E66" s="18"/>
      <c r="F66" s="18"/>
      <c r="G66" s="18" t="str">
        <f aca="false">IF(COUNT(D66:F66)=3,SUM(D66:F66),"")</f>
        <v/>
      </c>
      <c r="H66" s="9"/>
    </row>
    <row r="67" customFormat="false" ht="15" hidden="false" customHeight="false" outlineLevel="0" collapsed="false">
      <c r="A67" s="18" t="s">
        <v>129</v>
      </c>
      <c r="B67" s="18" t="n">
        <v>2</v>
      </c>
      <c r="C67" s="18" t="s">
        <v>312</v>
      </c>
      <c r="D67" s="18"/>
      <c r="E67" s="18"/>
      <c r="F67" s="18"/>
      <c r="G67" s="18" t="str">
        <f aca="false">IF(COUNT(D67:F67)=3,SUM(D67:F67),"")</f>
        <v/>
      </c>
      <c r="H67" s="9"/>
    </row>
    <row r="68" customFormat="false" ht="15" hidden="false" customHeight="false" outlineLevel="0" collapsed="false">
      <c r="A68" s="18" t="s">
        <v>129</v>
      </c>
      <c r="B68" s="18" t="n">
        <v>2</v>
      </c>
      <c r="C68" s="18" t="s">
        <v>313</v>
      </c>
      <c r="D68" s="18"/>
      <c r="E68" s="18"/>
      <c r="F68" s="18"/>
      <c r="G68" s="18" t="str">
        <f aca="false">IF(COUNT(D68:F68)=3,SUM(D68:F68),"")</f>
        <v/>
      </c>
      <c r="H68" s="9"/>
    </row>
    <row r="69" customFormat="false" ht="15" hidden="false" customHeight="false" outlineLevel="0" collapsed="false">
      <c r="A69" s="18" t="s">
        <v>129</v>
      </c>
      <c r="B69" s="18" t="n">
        <v>2</v>
      </c>
      <c r="C69" s="18" t="s">
        <v>314</v>
      </c>
      <c r="D69" s="18"/>
      <c r="E69" s="18"/>
      <c r="F69" s="18"/>
      <c r="G69" s="18" t="str">
        <f aca="false">IF(COUNT(D69:F69)=3,SUM(D69:F69),"")</f>
        <v/>
      </c>
      <c r="H69" s="9"/>
    </row>
    <row r="70" customFormat="false" ht="15" hidden="false" customHeight="false" outlineLevel="0" collapsed="false">
      <c r="A70" s="18" t="s">
        <v>133</v>
      </c>
      <c r="B70" s="18" t="n">
        <v>2</v>
      </c>
      <c r="C70" s="18" t="s">
        <v>311</v>
      </c>
      <c r="D70" s="18"/>
      <c r="E70" s="18"/>
      <c r="F70" s="18"/>
      <c r="G70" s="18" t="str">
        <f aca="false">IF(COUNT(D70:F70)=3,SUM(D70:F70),"")</f>
        <v/>
      </c>
      <c r="H70" s="9"/>
    </row>
    <row r="71" customFormat="false" ht="15" hidden="false" customHeight="false" outlineLevel="0" collapsed="false">
      <c r="A71" s="18" t="s">
        <v>133</v>
      </c>
      <c r="B71" s="18" t="n">
        <v>2</v>
      </c>
      <c r="C71" s="18" t="s">
        <v>312</v>
      </c>
      <c r="D71" s="18"/>
      <c r="E71" s="18"/>
      <c r="F71" s="18"/>
      <c r="G71" s="18" t="str">
        <f aca="false">IF(COUNT(D71:F71)=3,SUM(D71:F71),"")</f>
        <v/>
      </c>
      <c r="H71" s="9"/>
    </row>
    <row r="72" customFormat="false" ht="15" hidden="false" customHeight="false" outlineLevel="0" collapsed="false">
      <c r="A72" s="18" t="s">
        <v>133</v>
      </c>
      <c r="B72" s="18" t="n">
        <v>2</v>
      </c>
      <c r="C72" s="18" t="s">
        <v>313</v>
      </c>
      <c r="D72" s="18"/>
      <c r="E72" s="18"/>
      <c r="F72" s="18"/>
      <c r="G72" s="18" t="str">
        <f aca="false">IF(COUNT(D72:F72)=3,SUM(D72:F72),"")</f>
        <v/>
      </c>
      <c r="H72" s="9"/>
    </row>
    <row r="73" customFormat="false" ht="15" hidden="false" customHeight="false" outlineLevel="0" collapsed="false">
      <c r="A73" s="18" t="s">
        <v>133</v>
      </c>
      <c r="B73" s="18" t="n">
        <v>2</v>
      </c>
      <c r="C73" s="18" t="s">
        <v>314</v>
      </c>
      <c r="D73" s="18"/>
      <c r="E73" s="18"/>
      <c r="F73" s="18"/>
      <c r="G73" s="18" t="str">
        <f aca="false">IF(COUNT(D73:F73)=3,SUM(D73:F73),"")</f>
        <v/>
      </c>
      <c r="H73" s="9"/>
    </row>
    <row r="74" customFormat="false" ht="15" hidden="false" customHeight="false" outlineLevel="0" collapsed="false">
      <c r="A74" s="18" t="s">
        <v>137</v>
      </c>
      <c r="B74" s="18" t="n">
        <v>2</v>
      </c>
      <c r="C74" s="18" t="s">
        <v>311</v>
      </c>
      <c r="D74" s="18"/>
      <c r="E74" s="18"/>
      <c r="F74" s="18"/>
      <c r="G74" s="18" t="str">
        <f aca="false">IF(COUNT(D74:F74)=3,SUM(D74:F74),"")</f>
        <v/>
      </c>
      <c r="H74" s="9"/>
    </row>
    <row r="75" customFormat="false" ht="15" hidden="false" customHeight="false" outlineLevel="0" collapsed="false">
      <c r="A75" s="18" t="s">
        <v>137</v>
      </c>
      <c r="B75" s="18" t="n">
        <v>2</v>
      </c>
      <c r="C75" s="18" t="s">
        <v>312</v>
      </c>
      <c r="D75" s="18"/>
      <c r="E75" s="18"/>
      <c r="F75" s="18"/>
      <c r="G75" s="18" t="str">
        <f aca="false">IF(COUNT(D75:F75)=3,SUM(D75:F75),"")</f>
        <v/>
      </c>
      <c r="H75" s="9"/>
    </row>
    <row r="76" customFormat="false" ht="15" hidden="false" customHeight="false" outlineLevel="0" collapsed="false">
      <c r="A76" s="18" t="s">
        <v>137</v>
      </c>
      <c r="B76" s="18" t="n">
        <v>2</v>
      </c>
      <c r="C76" s="18" t="s">
        <v>313</v>
      </c>
      <c r="D76" s="18"/>
      <c r="E76" s="18"/>
      <c r="F76" s="18"/>
      <c r="G76" s="18" t="str">
        <f aca="false">IF(COUNT(D76:F76)=3,SUM(D76:F76),"")</f>
        <v/>
      </c>
      <c r="H76" s="9"/>
    </row>
    <row r="77" customFormat="false" ht="15" hidden="false" customHeight="false" outlineLevel="0" collapsed="false">
      <c r="A77" s="18" t="s">
        <v>137</v>
      </c>
      <c r="B77" s="18" t="n">
        <v>2</v>
      </c>
      <c r="C77" s="18" t="s">
        <v>314</v>
      </c>
      <c r="D77" s="18"/>
      <c r="E77" s="18"/>
      <c r="F77" s="18"/>
      <c r="G77" s="18" t="str">
        <f aca="false">IF(COUNT(D77:F77)=3,SUM(D77:F77),"")</f>
        <v/>
      </c>
      <c r="H77" s="9"/>
    </row>
    <row r="78" customFormat="false" ht="15" hidden="false" customHeight="false" outlineLevel="0" collapsed="false">
      <c r="A78" s="18" t="s">
        <v>141</v>
      </c>
      <c r="B78" s="18" t="n">
        <v>2</v>
      </c>
      <c r="C78" s="18" t="s">
        <v>311</v>
      </c>
      <c r="D78" s="18"/>
      <c r="E78" s="18"/>
      <c r="F78" s="18"/>
      <c r="G78" s="18" t="str">
        <f aca="false">IF(COUNT(D78:F78)=3,SUM(D78:F78),"")</f>
        <v/>
      </c>
      <c r="H78" s="9"/>
    </row>
    <row r="79" customFormat="false" ht="15" hidden="false" customHeight="false" outlineLevel="0" collapsed="false">
      <c r="A79" s="18" t="s">
        <v>141</v>
      </c>
      <c r="B79" s="18" t="n">
        <v>2</v>
      </c>
      <c r="C79" s="18" t="s">
        <v>312</v>
      </c>
      <c r="D79" s="18"/>
      <c r="E79" s="18"/>
      <c r="F79" s="18"/>
      <c r="G79" s="18" t="str">
        <f aca="false">IF(COUNT(D79:F79)=3,SUM(D79:F79),"")</f>
        <v/>
      </c>
      <c r="H79" s="9"/>
    </row>
    <row r="80" customFormat="false" ht="15" hidden="false" customHeight="false" outlineLevel="0" collapsed="false">
      <c r="A80" s="18" t="s">
        <v>141</v>
      </c>
      <c r="B80" s="18" t="n">
        <v>2</v>
      </c>
      <c r="C80" s="18" t="s">
        <v>313</v>
      </c>
      <c r="D80" s="18"/>
      <c r="E80" s="18"/>
      <c r="F80" s="18"/>
      <c r="G80" s="18" t="str">
        <f aca="false">IF(COUNT(D80:F80)=3,SUM(D80:F80),"")</f>
        <v/>
      </c>
      <c r="H80" s="9"/>
    </row>
    <row r="81" customFormat="false" ht="15" hidden="false" customHeight="false" outlineLevel="0" collapsed="false">
      <c r="A81" s="18" t="s">
        <v>141</v>
      </c>
      <c r="B81" s="18" t="n">
        <v>2</v>
      </c>
      <c r="C81" s="18" t="s">
        <v>314</v>
      </c>
      <c r="D81" s="18"/>
      <c r="E81" s="18"/>
      <c r="F81" s="18"/>
      <c r="G81" s="18" t="str">
        <f aca="false">IF(COUNT(D81:F81)=3,SUM(D81:F81),"")</f>
        <v/>
      </c>
      <c r="H81" s="9"/>
    </row>
    <row r="82" customFormat="false" ht="15" hidden="false" customHeight="false" outlineLevel="0" collapsed="false">
      <c r="A82" s="18" t="s">
        <v>145</v>
      </c>
      <c r="B82" s="18" t="n">
        <v>3</v>
      </c>
      <c r="C82" s="18" t="s">
        <v>311</v>
      </c>
      <c r="D82" s="18"/>
      <c r="E82" s="18"/>
      <c r="F82" s="18"/>
      <c r="G82" s="18" t="str">
        <f aca="false">IF(COUNT(D82:F82)=3,SUM(D82:F82),"")</f>
        <v/>
      </c>
      <c r="H82" s="9"/>
    </row>
    <row r="83" customFormat="false" ht="15" hidden="false" customHeight="false" outlineLevel="0" collapsed="false">
      <c r="A83" s="18" t="s">
        <v>145</v>
      </c>
      <c r="B83" s="18" t="n">
        <v>3</v>
      </c>
      <c r="C83" s="18" t="s">
        <v>312</v>
      </c>
      <c r="D83" s="18"/>
      <c r="E83" s="18"/>
      <c r="F83" s="18"/>
      <c r="G83" s="18" t="str">
        <f aca="false">IF(COUNT(D83:F83)=3,SUM(D83:F83),"")</f>
        <v/>
      </c>
      <c r="H83" s="9"/>
    </row>
    <row r="84" customFormat="false" ht="15" hidden="false" customHeight="false" outlineLevel="0" collapsed="false">
      <c r="A84" s="18" t="s">
        <v>145</v>
      </c>
      <c r="B84" s="18" t="n">
        <v>3</v>
      </c>
      <c r="C84" s="18" t="s">
        <v>313</v>
      </c>
      <c r="D84" s="18"/>
      <c r="E84" s="18"/>
      <c r="F84" s="18"/>
      <c r="G84" s="18" t="str">
        <f aca="false">IF(COUNT(D84:F84)=3,SUM(D84:F84),"")</f>
        <v/>
      </c>
      <c r="H84" s="9"/>
    </row>
    <row r="85" customFormat="false" ht="15" hidden="false" customHeight="false" outlineLevel="0" collapsed="false">
      <c r="A85" s="18" t="s">
        <v>145</v>
      </c>
      <c r="B85" s="18" t="n">
        <v>3</v>
      </c>
      <c r="C85" s="18" t="s">
        <v>314</v>
      </c>
      <c r="D85" s="18"/>
      <c r="E85" s="18"/>
      <c r="F85" s="18"/>
      <c r="G85" s="18" t="str">
        <f aca="false">IF(COUNT(D85:F85)=3,SUM(D85:F85),"")</f>
        <v/>
      </c>
      <c r="H85" s="9"/>
    </row>
    <row r="86" customFormat="false" ht="15" hidden="false" customHeight="false" outlineLevel="0" collapsed="false">
      <c r="A86" s="18" t="s">
        <v>150</v>
      </c>
      <c r="B86" s="18" t="n">
        <v>3</v>
      </c>
      <c r="C86" s="18" t="s">
        <v>311</v>
      </c>
      <c r="D86" s="18"/>
      <c r="E86" s="18"/>
      <c r="F86" s="18"/>
      <c r="G86" s="18" t="str">
        <f aca="false">IF(COUNT(D86:F86)=3,SUM(D86:F86),"")</f>
        <v/>
      </c>
      <c r="H86" s="9"/>
    </row>
    <row r="87" customFormat="false" ht="15" hidden="false" customHeight="false" outlineLevel="0" collapsed="false">
      <c r="A87" s="18" t="s">
        <v>150</v>
      </c>
      <c r="B87" s="18" t="n">
        <v>3</v>
      </c>
      <c r="C87" s="18" t="s">
        <v>312</v>
      </c>
      <c r="D87" s="18"/>
      <c r="E87" s="18"/>
      <c r="F87" s="18"/>
      <c r="G87" s="18" t="str">
        <f aca="false">IF(COUNT(D87:F87)=3,SUM(D87:F87),"")</f>
        <v/>
      </c>
      <c r="H87" s="9"/>
    </row>
    <row r="88" customFormat="false" ht="15" hidden="false" customHeight="false" outlineLevel="0" collapsed="false">
      <c r="A88" s="18" t="s">
        <v>150</v>
      </c>
      <c r="B88" s="18" t="n">
        <v>3</v>
      </c>
      <c r="C88" s="18" t="s">
        <v>313</v>
      </c>
      <c r="D88" s="18"/>
      <c r="E88" s="18"/>
      <c r="F88" s="18"/>
      <c r="G88" s="18" t="str">
        <f aca="false">IF(COUNT(D88:F88)=3,SUM(D88:F88),"")</f>
        <v/>
      </c>
      <c r="H88" s="9"/>
    </row>
    <row r="89" customFormat="false" ht="15" hidden="false" customHeight="false" outlineLevel="0" collapsed="false">
      <c r="A89" s="18" t="s">
        <v>150</v>
      </c>
      <c r="B89" s="18" t="n">
        <v>3</v>
      </c>
      <c r="C89" s="18" t="s">
        <v>314</v>
      </c>
      <c r="D89" s="18"/>
      <c r="E89" s="18"/>
      <c r="F89" s="18"/>
      <c r="G89" s="18" t="str">
        <f aca="false">IF(COUNT(D89:F89)=3,SUM(D89:F89),"")</f>
        <v/>
      </c>
      <c r="H89" s="9"/>
    </row>
    <row r="90" customFormat="false" ht="15" hidden="false" customHeight="false" outlineLevel="0" collapsed="false">
      <c r="A90" s="18" t="s">
        <v>154</v>
      </c>
      <c r="B90" s="18" t="n">
        <v>3</v>
      </c>
      <c r="C90" s="18" t="s">
        <v>311</v>
      </c>
      <c r="D90" s="18"/>
      <c r="E90" s="18"/>
      <c r="F90" s="18"/>
      <c r="G90" s="18" t="str">
        <f aca="false">IF(COUNT(D90:F90)=3,SUM(D90:F90),"")</f>
        <v/>
      </c>
      <c r="H90" s="9"/>
    </row>
    <row r="91" customFormat="false" ht="15" hidden="false" customHeight="false" outlineLevel="0" collapsed="false">
      <c r="A91" s="18" t="s">
        <v>154</v>
      </c>
      <c r="B91" s="18" t="n">
        <v>3</v>
      </c>
      <c r="C91" s="18" t="s">
        <v>312</v>
      </c>
      <c r="D91" s="18"/>
      <c r="E91" s="18"/>
      <c r="F91" s="18"/>
      <c r="G91" s="18" t="str">
        <f aca="false">IF(COUNT(D91:F91)=3,SUM(D91:F91),"")</f>
        <v/>
      </c>
      <c r="H91" s="9"/>
    </row>
    <row r="92" customFormat="false" ht="15" hidden="false" customHeight="false" outlineLevel="0" collapsed="false">
      <c r="A92" s="18" t="s">
        <v>154</v>
      </c>
      <c r="B92" s="18" t="n">
        <v>3</v>
      </c>
      <c r="C92" s="18" t="s">
        <v>313</v>
      </c>
      <c r="D92" s="18"/>
      <c r="E92" s="18"/>
      <c r="F92" s="18"/>
      <c r="G92" s="18" t="str">
        <f aca="false">IF(COUNT(D92:F92)=3,SUM(D92:F92),"")</f>
        <v/>
      </c>
      <c r="H92" s="9"/>
    </row>
    <row r="93" customFormat="false" ht="15" hidden="false" customHeight="false" outlineLevel="0" collapsed="false">
      <c r="A93" s="18" t="s">
        <v>154</v>
      </c>
      <c r="B93" s="18" t="n">
        <v>3</v>
      </c>
      <c r="C93" s="18" t="s">
        <v>314</v>
      </c>
      <c r="D93" s="18"/>
      <c r="E93" s="18"/>
      <c r="F93" s="18"/>
      <c r="G93" s="18" t="str">
        <f aca="false">IF(COUNT(D93:F93)=3,SUM(D93:F93),"")</f>
        <v/>
      </c>
      <c r="H93" s="9"/>
    </row>
    <row r="94" customFormat="false" ht="15" hidden="false" customHeight="false" outlineLevel="0" collapsed="false">
      <c r="A94" s="18" t="s">
        <v>158</v>
      </c>
      <c r="B94" s="18" t="n">
        <v>3</v>
      </c>
      <c r="C94" s="18" t="s">
        <v>311</v>
      </c>
      <c r="D94" s="18"/>
      <c r="E94" s="18"/>
      <c r="F94" s="18"/>
      <c r="G94" s="18" t="str">
        <f aca="false">IF(COUNT(D94:F94)=3,SUM(D94:F94),"")</f>
        <v/>
      </c>
      <c r="H94" s="9"/>
    </row>
    <row r="95" customFormat="false" ht="15" hidden="false" customHeight="false" outlineLevel="0" collapsed="false">
      <c r="A95" s="18" t="s">
        <v>158</v>
      </c>
      <c r="B95" s="18" t="n">
        <v>3</v>
      </c>
      <c r="C95" s="18" t="s">
        <v>312</v>
      </c>
      <c r="D95" s="18"/>
      <c r="E95" s="18"/>
      <c r="F95" s="18"/>
      <c r="G95" s="18" t="str">
        <f aca="false">IF(COUNT(D95:F95)=3,SUM(D95:F95),"")</f>
        <v/>
      </c>
      <c r="H95" s="9"/>
    </row>
    <row r="96" customFormat="false" ht="15" hidden="false" customHeight="false" outlineLevel="0" collapsed="false">
      <c r="A96" s="18" t="s">
        <v>158</v>
      </c>
      <c r="B96" s="18" t="n">
        <v>3</v>
      </c>
      <c r="C96" s="18" t="s">
        <v>313</v>
      </c>
      <c r="D96" s="18"/>
      <c r="E96" s="18"/>
      <c r="F96" s="18"/>
      <c r="G96" s="18" t="str">
        <f aca="false">IF(COUNT(D96:F96)=3,SUM(D96:F96),"")</f>
        <v/>
      </c>
      <c r="H96" s="9"/>
    </row>
    <row r="97" customFormat="false" ht="15" hidden="false" customHeight="false" outlineLevel="0" collapsed="false">
      <c r="A97" s="18" t="s">
        <v>158</v>
      </c>
      <c r="B97" s="18" t="n">
        <v>3</v>
      </c>
      <c r="C97" s="18" t="s">
        <v>314</v>
      </c>
      <c r="D97" s="18"/>
      <c r="E97" s="18"/>
      <c r="F97" s="18"/>
      <c r="G97" s="18" t="str">
        <f aca="false">IF(COUNT(D97:F97)=3,SUM(D97:F97),"")</f>
        <v/>
      </c>
      <c r="H97" s="9"/>
    </row>
    <row r="98" customFormat="false" ht="15" hidden="false" customHeight="false" outlineLevel="0" collapsed="false">
      <c r="A98" s="18" t="s">
        <v>162</v>
      </c>
      <c r="B98" s="18" t="n">
        <v>3</v>
      </c>
      <c r="C98" s="18" t="s">
        <v>311</v>
      </c>
      <c r="D98" s="18"/>
      <c r="E98" s="18"/>
      <c r="F98" s="18"/>
      <c r="G98" s="18" t="str">
        <f aca="false">IF(COUNT(D98:F98)=3,SUM(D98:F98),"")</f>
        <v/>
      </c>
      <c r="H98" s="9"/>
    </row>
    <row r="99" customFormat="false" ht="15" hidden="false" customHeight="false" outlineLevel="0" collapsed="false">
      <c r="A99" s="18" t="s">
        <v>162</v>
      </c>
      <c r="B99" s="18" t="n">
        <v>3</v>
      </c>
      <c r="C99" s="18" t="s">
        <v>312</v>
      </c>
      <c r="D99" s="18"/>
      <c r="E99" s="18"/>
      <c r="F99" s="18"/>
      <c r="G99" s="18" t="str">
        <f aca="false">IF(COUNT(D99:F99)=3,SUM(D99:F99),"")</f>
        <v/>
      </c>
      <c r="H99" s="9"/>
    </row>
    <row r="100" customFormat="false" ht="15" hidden="false" customHeight="false" outlineLevel="0" collapsed="false">
      <c r="A100" s="18" t="s">
        <v>162</v>
      </c>
      <c r="B100" s="18" t="n">
        <v>3</v>
      </c>
      <c r="C100" s="18" t="s">
        <v>313</v>
      </c>
      <c r="D100" s="18"/>
      <c r="E100" s="18"/>
      <c r="F100" s="18"/>
      <c r="G100" s="18" t="str">
        <f aca="false">IF(COUNT(D100:F100)=3,SUM(D100:F100),"")</f>
        <v/>
      </c>
      <c r="H100" s="9"/>
    </row>
    <row r="101" customFormat="false" ht="15" hidden="false" customHeight="false" outlineLevel="0" collapsed="false">
      <c r="A101" s="18" t="s">
        <v>162</v>
      </c>
      <c r="B101" s="18" t="n">
        <v>3</v>
      </c>
      <c r="C101" s="18" t="s">
        <v>314</v>
      </c>
      <c r="D101" s="18"/>
      <c r="E101" s="18"/>
      <c r="F101" s="18"/>
      <c r="G101" s="18" t="str">
        <f aca="false">IF(COUNT(D101:F101)=3,SUM(D101:F101),"")</f>
        <v/>
      </c>
      <c r="H101" s="9"/>
    </row>
    <row r="102" customFormat="false" ht="15" hidden="false" customHeight="false" outlineLevel="0" collapsed="false">
      <c r="A102" s="18" t="s">
        <v>166</v>
      </c>
      <c r="B102" s="18" t="n">
        <v>3</v>
      </c>
      <c r="C102" s="18" t="s">
        <v>311</v>
      </c>
      <c r="D102" s="18"/>
      <c r="E102" s="18"/>
      <c r="F102" s="18"/>
      <c r="G102" s="18" t="str">
        <f aca="false">IF(COUNT(D102:F102)=3,SUM(D102:F102),"")</f>
        <v/>
      </c>
      <c r="H102" s="9"/>
    </row>
    <row r="103" customFormat="false" ht="15" hidden="false" customHeight="false" outlineLevel="0" collapsed="false">
      <c r="A103" s="18" t="s">
        <v>166</v>
      </c>
      <c r="B103" s="18" t="n">
        <v>3</v>
      </c>
      <c r="C103" s="18" t="s">
        <v>312</v>
      </c>
      <c r="D103" s="18"/>
      <c r="E103" s="18"/>
      <c r="F103" s="18"/>
      <c r="G103" s="18" t="str">
        <f aca="false">IF(COUNT(D103:F103)=3,SUM(D103:F103),"")</f>
        <v/>
      </c>
      <c r="H103" s="9"/>
    </row>
    <row r="104" customFormat="false" ht="15" hidden="false" customHeight="false" outlineLevel="0" collapsed="false">
      <c r="A104" s="18" t="s">
        <v>166</v>
      </c>
      <c r="B104" s="18" t="n">
        <v>3</v>
      </c>
      <c r="C104" s="18" t="s">
        <v>313</v>
      </c>
      <c r="D104" s="18"/>
      <c r="E104" s="18"/>
      <c r="F104" s="18"/>
      <c r="G104" s="18" t="str">
        <f aca="false">IF(COUNT(D104:F104)=3,SUM(D104:F104),"")</f>
        <v/>
      </c>
      <c r="H104" s="9"/>
    </row>
    <row r="105" customFormat="false" ht="15" hidden="false" customHeight="false" outlineLevel="0" collapsed="false">
      <c r="A105" s="18" t="s">
        <v>166</v>
      </c>
      <c r="B105" s="18" t="n">
        <v>3</v>
      </c>
      <c r="C105" s="18" t="s">
        <v>314</v>
      </c>
      <c r="D105" s="18"/>
      <c r="E105" s="18"/>
      <c r="F105" s="18"/>
      <c r="G105" s="18" t="str">
        <f aca="false">IF(COUNT(D105:F105)=3,SUM(D105:F105),"")</f>
        <v/>
      </c>
      <c r="H105" s="9"/>
    </row>
    <row r="106" customFormat="false" ht="15" hidden="false" customHeight="false" outlineLevel="0" collapsed="false">
      <c r="A106" s="18" t="s">
        <v>170</v>
      </c>
      <c r="B106" s="18" t="n">
        <v>3</v>
      </c>
      <c r="C106" s="18" t="s">
        <v>311</v>
      </c>
      <c r="D106" s="18"/>
      <c r="E106" s="18"/>
      <c r="F106" s="18"/>
      <c r="G106" s="18" t="str">
        <f aca="false">IF(COUNT(D106:F106)=3,SUM(D106:F106),"")</f>
        <v/>
      </c>
      <c r="H106" s="9"/>
    </row>
    <row r="107" customFormat="false" ht="15" hidden="false" customHeight="false" outlineLevel="0" collapsed="false">
      <c r="A107" s="18" t="s">
        <v>170</v>
      </c>
      <c r="B107" s="18" t="n">
        <v>3</v>
      </c>
      <c r="C107" s="18" t="s">
        <v>312</v>
      </c>
      <c r="D107" s="18"/>
      <c r="E107" s="18"/>
      <c r="F107" s="18"/>
      <c r="G107" s="18" t="str">
        <f aca="false">IF(COUNT(D107:F107)=3,SUM(D107:F107),"")</f>
        <v/>
      </c>
      <c r="H107" s="9"/>
    </row>
    <row r="108" customFormat="false" ht="15" hidden="false" customHeight="false" outlineLevel="0" collapsed="false">
      <c r="A108" s="18" t="s">
        <v>170</v>
      </c>
      <c r="B108" s="18" t="n">
        <v>3</v>
      </c>
      <c r="C108" s="18" t="s">
        <v>313</v>
      </c>
      <c r="D108" s="18"/>
      <c r="E108" s="18"/>
      <c r="F108" s="18"/>
      <c r="G108" s="18" t="str">
        <f aca="false">IF(COUNT(D108:F108)=3,SUM(D108:F108),"")</f>
        <v/>
      </c>
      <c r="H108" s="9"/>
    </row>
    <row r="109" customFormat="false" ht="15" hidden="false" customHeight="false" outlineLevel="0" collapsed="false">
      <c r="A109" s="18" t="s">
        <v>170</v>
      </c>
      <c r="B109" s="18" t="n">
        <v>3</v>
      </c>
      <c r="C109" s="18" t="s">
        <v>314</v>
      </c>
      <c r="D109" s="18"/>
      <c r="E109" s="18"/>
      <c r="F109" s="18"/>
      <c r="G109" s="18" t="str">
        <f aca="false">IF(COUNT(D109:F109)=3,SUM(D109:F109),"")</f>
        <v/>
      </c>
      <c r="H109" s="9"/>
    </row>
    <row r="110" customFormat="false" ht="15" hidden="false" customHeight="false" outlineLevel="0" collapsed="false">
      <c r="A110" s="18" t="s">
        <v>174</v>
      </c>
      <c r="B110" s="18" t="n">
        <v>3</v>
      </c>
      <c r="C110" s="18" t="s">
        <v>311</v>
      </c>
      <c r="D110" s="18"/>
      <c r="E110" s="18"/>
      <c r="F110" s="18"/>
      <c r="G110" s="18" t="str">
        <f aca="false">IF(COUNT(D110:F110)=3,SUM(D110:F110),"")</f>
        <v/>
      </c>
      <c r="H110" s="9"/>
    </row>
    <row r="111" customFormat="false" ht="15" hidden="false" customHeight="false" outlineLevel="0" collapsed="false">
      <c r="A111" s="18" t="s">
        <v>174</v>
      </c>
      <c r="B111" s="18" t="n">
        <v>3</v>
      </c>
      <c r="C111" s="18" t="s">
        <v>312</v>
      </c>
      <c r="D111" s="18"/>
      <c r="E111" s="18"/>
      <c r="F111" s="18"/>
      <c r="G111" s="18" t="str">
        <f aca="false">IF(COUNT(D111:F111)=3,SUM(D111:F111),"")</f>
        <v/>
      </c>
      <c r="H111" s="9"/>
    </row>
    <row r="112" customFormat="false" ht="15" hidden="false" customHeight="false" outlineLevel="0" collapsed="false">
      <c r="A112" s="18" t="s">
        <v>174</v>
      </c>
      <c r="B112" s="18" t="n">
        <v>3</v>
      </c>
      <c r="C112" s="18" t="s">
        <v>313</v>
      </c>
      <c r="D112" s="18"/>
      <c r="E112" s="18"/>
      <c r="F112" s="18"/>
      <c r="G112" s="18" t="str">
        <f aca="false">IF(COUNT(D112:F112)=3,SUM(D112:F112),"")</f>
        <v/>
      </c>
      <c r="H112" s="9"/>
    </row>
    <row r="113" customFormat="false" ht="15" hidden="false" customHeight="false" outlineLevel="0" collapsed="false">
      <c r="A113" s="18" t="s">
        <v>174</v>
      </c>
      <c r="B113" s="18" t="n">
        <v>3</v>
      </c>
      <c r="C113" s="18" t="s">
        <v>314</v>
      </c>
      <c r="D113" s="18"/>
      <c r="E113" s="18"/>
      <c r="F113" s="18"/>
      <c r="G113" s="18" t="str">
        <f aca="false">IF(COUNT(D113:F113)=3,SUM(D113:F113),"")</f>
        <v/>
      </c>
      <c r="H113" s="9"/>
    </row>
    <row r="114" customFormat="false" ht="15" hidden="false" customHeight="false" outlineLevel="0" collapsed="false">
      <c r="A114" s="18" t="s">
        <v>178</v>
      </c>
      <c r="B114" s="18" t="n">
        <v>3</v>
      </c>
      <c r="C114" s="18" t="s">
        <v>311</v>
      </c>
      <c r="D114" s="18"/>
      <c r="E114" s="18"/>
      <c r="F114" s="18"/>
      <c r="G114" s="18" t="str">
        <f aca="false">IF(COUNT(D114:F114)=3,SUM(D114:F114),"")</f>
        <v/>
      </c>
      <c r="H114" s="9"/>
    </row>
    <row r="115" customFormat="false" ht="15" hidden="false" customHeight="false" outlineLevel="0" collapsed="false">
      <c r="A115" s="18" t="s">
        <v>178</v>
      </c>
      <c r="B115" s="18" t="n">
        <v>3</v>
      </c>
      <c r="C115" s="18" t="s">
        <v>312</v>
      </c>
      <c r="D115" s="18"/>
      <c r="E115" s="18"/>
      <c r="F115" s="18"/>
      <c r="G115" s="18" t="str">
        <f aca="false">IF(COUNT(D115:F115)=3,SUM(D115:F115),"")</f>
        <v/>
      </c>
      <c r="H115" s="9"/>
    </row>
    <row r="116" customFormat="false" ht="15" hidden="false" customHeight="false" outlineLevel="0" collapsed="false">
      <c r="A116" s="18" t="s">
        <v>178</v>
      </c>
      <c r="B116" s="18" t="n">
        <v>3</v>
      </c>
      <c r="C116" s="18" t="s">
        <v>313</v>
      </c>
      <c r="D116" s="18"/>
      <c r="E116" s="18"/>
      <c r="F116" s="18"/>
      <c r="G116" s="18" t="str">
        <f aca="false">IF(COUNT(D116:F116)=3,SUM(D116:F116),"")</f>
        <v/>
      </c>
      <c r="H116" s="9"/>
    </row>
    <row r="117" customFormat="false" ht="15" hidden="false" customHeight="false" outlineLevel="0" collapsed="false">
      <c r="A117" s="18" t="s">
        <v>178</v>
      </c>
      <c r="B117" s="18" t="n">
        <v>3</v>
      </c>
      <c r="C117" s="18" t="s">
        <v>314</v>
      </c>
      <c r="D117" s="18"/>
      <c r="E117" s="18"/>
      <c r="F117" s="18"/>
      <c r="G117" s="18" t="str">
        <f aca="false">IF(COUNT(D117:F117)=3,SUM(D117:F117),"")</f>
        <v/>
      </c>
      <c r="H117" s="9"/>
    </row>
    <row r="118" customFormat="false" ht="15" hidden="false" customHeight="false" outlineLevel="0" collapsed="false">
      <c r="A118" s="18" t="s">
        <v>182</v>
      </c>
      <c r="B118" s="18" t="n">
        <v>3</v>
      </c>
      <c r="C118" s="18" t="s">
        <v>311</v>
      </c>
      <c r="D118" s="18"/>
      <c r="E118" s="18"/>
      <c r="F118" s="18"/>
      <c r="G118" s="18" t="str">
        <f aca="false">IF(COUNT(D118:F118)=3,SUM(D118:F118),"")</f>
        <v/>
      </c>
      <c r="H118" s="9"/>
    </row>
    <row r="119" customFormat="false" ht="15" hidden="false" customHeight="false" outlineLevel="0" collapsed="false">
      <c r="A119" s="18" t="s">
        <v>182</v>
      </c>
      <c r="B119" s="18" t="n">
        <v>3</v>
      </c>
      <c r="C119" s="18" t="s">
        <v>312</v>
      </c>
      <c r="D119" s="18"/>
      <c r="E119" s="18"/>
      <c r="F119" s="18"/>
      <c r="G119" s="18" t="str">
        <f aca="false">IF(COUNT(D119:F119)=3,SUM(D119:F119),"")</f>
        <v/>
      </c>
      <c r="H119" s="9"/>
    </row>
    <row r="120" customFormat="false" ht="15" hidden="false" customHeight="false" outlineLevel="0" collapsed="false">
      <c r="A120" s="18" t="s">
        <v>182</v>
      </c>
      <c r="B120" s="18" t="n">
        <v>3</v>
      </c>
      <c r="C120" s="18" t="s">
        <v>313</v>
      </c>
      <c r="D120" s="18"/>
      <c r="E120" s="18"/>
      <c r="F120" s="18"/>
      <c r="G120" s="18" t="str">
        <f aca="false">IF(COUNT(D120:F120)=3,SUM(D120:F120),"")</f>
        <v/>
      </c>
      <c r="H120" s="9"/>
    </row>
    <row r="121" customFormat="false" ht="15" hidden="false" customHeight="false" outlineLevel="0" collapsed="false">
      <c r="A121" s="18" t="s">
        <v>182</v>
      </c>
      <c r="B121" s="18" t="n">
        <v>3</v>
      </c>
      <c r="C121" s="18" t="s">
        <v>314</v>
      </c>
      <c r="D121" s="18"/>
      <c r="E121" s="18"/>
      <c r="F121" s="18"/>
      <c r="G121" s="18" t="str">
        <f aca="false">IF(COUNT(D121:F121)=3,SUM(D121:F121),"")</f>
        <v/>
      </c>
      <c r="H121" s="9"/>
    </row>
    <row r="122" customFormat="false" ht="15" hidden="false" customHeight="false" outlineLevel="0" collapsed="false">
      <c r="A122" s="18" t="s">
        <v>186</v>
      </c>
      <c r="B122" s="18" t="n">
        <v>4</v>
      </c>
      <c r="C122" s="18" t="s">
        <v>311</v>
      </c>
      <c r="D122" s="18"/>
      <c r="E122" s="18"/>
      <c r="F122" s="18"/>
      <c r="G122" s="18" t="str">
        <f aca="false">IF(COUNT(D122:F122)=3,SUM(D122:F122),"")</f>
        <v/>
      </c>
      <c r="H122" s="9"/>
    </row>
    <row r="123" customFormat="false" ht="15" hidden="false" customHeight="false" outlineLevel="0" collapsed="false">
      <c r="A123" s="18" t="s">
        <v>186</v>
      </c>
      <c r="B123" s="18" t="n">
        <v>4</v>
      </c>
      <c r="C123" s="18" t="s">
        <v>312</v>
      </c>
      <c r="D123" s="18"/>
      <c r="E123" s="18"/>
      <c r="F123" s="18"/>
      <c r="G123" s="18" t="str">
        <f aca="false">IF(COUNT(D123:F123)=3,SUM(D123:F123),"")</f>
        <v/>
      </c>
      <c r="H123" s="9"/>
    </row>
    <row r="124" customFormat="false" ht="15" hidden="false" customHeight="false" outlineLevel="0" collapsed="false">
      <c r="A124" s="18" t="s">
        <v>186</v>
      </c>
      <c r="B124" s="18" t="n">
        <v>4</v>
      </c>
      <c r="C124" s="18" t="s">
        <v>313</v>
      </c>
      <c r="D124" s="18"/>
      <c r="E124" s="18"/>
      <c r="F124" s="18"/>
      <c r="G124" s="18" t="str">
        <f aca="false">IF(COUNT(D124:F124)=3,SUM(D124:F124),"")</f>
        <v/>
      </c>
      <c r="H124" s="9"/>
    </row>
    <row r="125" customFormat="false" ht="15" hidden="false" customHeight="false" outlineLevel="0" collapsed="false">
      <c r="A125" s="18" t="s">
        <v>186</v>
      </c>
      <c r="B125" s="18" t="n">
        <v>4</v>
      </c>
      <c r="C125" s="18" t="s">
        <v>314</v>
      </c>
      <c r="D125" s="18"/>
      <c r="E125" s="18"/>
      <c r="F125" s="18"/>
      <c r="G125" s="18" t="str">
        <f aca="false">IF(COUNT(D125:F125)=3,SUM(D125:F125),"")</f>
        <v/>
      </c>
      <c r="H125" s="9"/>
    </row>
    <row r="126" customFormat="false" ht="15" hidden="false" customHeight="false" outlineLevel="0" collapsed="false">
      <c r="A126" s="18" t="s">
        <v>191</v>
      </c>
      <c r="B126" s="18" t="n">
        <v>4</v>
      </c>
      <c r="C126" s="18" t="s">
        <v>311</v>
      </c>
      <c r="D126" s="18"/>
      <c r="E126" s="18"/>
      <c r="F126" s="18"/>
      <c r="G126" s="18" t="str">
        <f aca="false">IF(COUNT(D126:F126)=3,SUM(D126:F126),"")</f>
        <v/>
      </c>
      <c r="H126" s="9"/>
    </row>
    <row r="127" customFormat="false" ht="15" hidden="false" customHeight="false" outlineLevel="0" collapsed="false">
      <c r="A127" s="18" t="s">
        <v>191</v>
      </c>
      <c r="B127" s="18" t="n">
        <v>4</v>
      </c>
      <c r="C127" s="18" t="s">
        <v>312</v>
      </c>
      <c r="D127" s="18"/>
      <c r="E127" s="18"/>
      <c r="F127" s="18"/>
      <c r="G127" s="18" t="str">
        <f aca="false">IF(COUNT(D127:F127)=3,SUM(D127:F127),"")</f>
        <v/>
      </c>
      <c r="H127" s="9"/>
    </row>
    <row r="128" customFormat="false" ht="15" hidden="false" customHeight="false" outlineLevel="0" collapsed="false">
      <c r="A128" s="18" t="s">
        <v>191</v>
      </c>
      <c r="B128" s="18" t="n">
        <v>4</v>
      </c>
      <c r="C128" s="18" t="s">
        <v>313</v>
      </c>
      <c r="D128" s="18"/>
      <c r="E128" s="18"/>
      <c r="F128" s="18"/>
      <c r="G128" s="18" t="str">
        <f aca="false">IF(COUNT(D128:F128)=3,SUM(D128:F128),"")</f>
        <v/>
      </c>
      <c r="H128" s="9"/>
    </row>
    <row r="129" customFormat="false" ht="15" hidden="false" customHeight="false" outlineLevel="0" collapsed="false">
      <c r="A129" s="18" t="s">
        <v>191</v>
      </c>
      <c r="B129" s="18" t="n">
        <v>4</v>
      </c>
      <c r="C129" s="18" t="s">
        <v>314</v>
      </c>
      <c r="D129" s="18"/>
      <c r="E129" s="18"/>
      <c r="F129" s="18"/>
      <c r="G129" s="18" t="str">
        <f aca="false">IF(COUNT(D129:F129)=3,SUM(D129:F129),"")</f>
        <v/>
      </c>
      <c r="H129" s="9"/>
    </row>
    <row r="130" customFormat="false" ht="15" hidden="false" customHeight="false" outlineLevel="0" collapsed="false">
      <c r="A130" s="18" t="s">
        <v>195</v>
      </c>
      <c r="B130" s="18" t="n">
        <v>4</v>
      </c>
      <c r="C130" s="18" t="s">
        <v>311</v>
      </c>
      <c r="D130" s="18"/>
      <c r="E130" s="18"/>
      <c r="F130" s="18"/>
      <c r="G130" s="18" t="str">
        <f aca="false">IF(COUNT(D130:F130)=3,SUM(D130:F130),"")</f>
        <v/>
      </c>
      <c r="H130" s="9"/>
    </row>
    <row r="131" customFormat="false" ht="15" hidden="false" customHeight="false" outlineLevel="0" collapsed="false">
      <c r="A131" s="18" t="s">
        <v>195</v>
      </c>
      <c r="B131" s="18" t="n">
        <v>4</v>
      </c>
      <c r="C131" s="18" t="s">
        <v>312</v>
      </c>
      <c r="D131" s="18"/>
      <c r="E131" s="18"/>
      <c r="F131" s="18"/>
      <c r="G131" s="18" t="str">
        <f aca="false">IF(COUNT(D131:F131)=3,SUM(D131:F131),"")</f>
        <v/>
      </c>
      <c r="H131" s="9"/>
    </row>
    <row r="132" customFormat="false" ht="15" hidden="false" customHeight="false" outlineLevel="0" collapsed="false">
      <c r="A132" s="18" t="s">
        <v>195</v>
      </c>
      <c r="B132" s="18" t="n">
        <v>4</v>
      </c>
      <c r="C132" s="18" t="s">
        <v>313</v>
      </c>
      <c r="D132" s="18"/>
      <c r="E132" s="18"/>
      <c r="F132" s="18"/>
      <c r="G132" s="18" t="str">
        <f aca="false">IF(COUNT(D132:F132)=3,SUM(D132:F132),"")</f>
        <v/>
      </c>
      <c r="H132" s="9"/>
    </row>
    <row r="133" customFormat="false" ht="15" hidden="false" customHeight="false" outlineLevel="0" collapsed="false">
      <c r="A133" s="18" t="s">
        <v>195</v>
      </c>
      <c r="B133" s="18" t="n">
        <v>4</v>
      </c>
      <c r="C133" s="18" t="s">
        <v>314</v>
      </c>
      <c r="D133" s="18"/>
      <c r="E133" s="18"/>
      <c r="F133" s="18"/>
      <c r="G133" s="18" t="str">
        <f aca="false">IF(COUNT(D133:F133)=3,SUM(D133:F133),"")</f>
        <v/>
      </c>
      <c r="H133" s="9"/>
    </row>
    <row r="134" customFormat="false" ht="15" hidden="false" customHeight="false" outlineLevel="0" collapsed="false">
      <c r="A134" s="18" t="s">
        <v>199</v>
      </c>
      <c r="B134" s="18" t="n">
        <v>4</v>
      </c>
      <c r="C134" s="18" t="s">
        <v>311</v>
      </c>
      <c r="D134" s="18"/>
      <c r="E134" s="18"/>
      <c r="F134" s="18"/>
      <c r="G134" s="18" t="str">
        <f aca="false">IF(COUNT(D134:F134)=3,SUM(D134:F134),"")</f>
        <v/>
      </c>
      <c r="H134" s="9"/>
    </row>
    <row r="135" customFormat="false" ht="15" hidden="false" customHeight="false" outlineLevel="0" collapsed="false">
      <c r="A135" s="18" t="s">
        <v>199</v>
      </c>
      <c r="B135" s="18" t="n">
        <v>4</v>
      </c>
      <c r="C135" s="18" t="s">
        <v>312</v>
      </c>
      <c r="D135" s="18"/>
      <c r="E135" s="18"/>
      <c r="F135" s="18"/>
      <c r="G135" s="18" t="str">
        <f aca="false">IF(COUNT(D135:F135)=3,SUM(D135:F135),"")</f>
        <v/>
      </c>
      <c r="H135" s="9"/>
    </row>
    <row r="136" customFormat="false" ht="15" hidden="false" customHeight="false" outlineLevel="0" collapsed="false">
      <c r="A136" s="18" t="s">
        <v>199</v>
      </c>
      <c r="B136" s="18" t="n">
        <v>4</v>
      </c>
      <c r="C136" s="18" t="s">
        <v>313</v>
      </c>
      <c r="D136" s="18"/>
      <c r="E136" s="18"/>
      <c r="F136" s="18"/>
      <c r="G136" s="18" t="str">
        <f aca="false">IF(COUNT(D136:F136)=3,SUM(D136:F136),"")</f>
        <v/>
      </c>
      <c r="H136" s="9"/>
    </row>
    <row r="137" customFormat="false" ht="15" hidden="false" customHeight="false" outlineLevel="0" collapsed="false">
      <c r="A137" s="18" t="s">
        <v>199</v>
      </c>
      <c r="B137" s="18" t="n">
        <v>4</v>
      </c>
      <c r="C137" s="18" t="s">
        <v>314</v>
      </c>
      <c r="D137" s="18"/>
      <c r="E137" s="18"/>
      <c r="F137" s="18"/>
      <c r="G137" s="18" t="str">
        <f aca="false">IF(COUNT(D137:F137)=3,SUM(D137:F137),"")</f>
        <v/>
      </c>
      <c r="H137" s="9"/>
    </row>
    <row r="138" customFormat="false" ht="15" hidden="false" customHeight="false" outlineLevel="0" collapsed="false">
      <c r="A138" s="18" t="s">
        <v>202</v>
      </c>
      <c r="B138" s="18" t="n">
        <v>4</v>
      </c>
      <c r="C138" s="18" t="s">
        <v>311</v>
      </c>
      <c r="D138" s="18"/>
      <c r="E138" s="18"/>
      <c r="F138" s="18"/>
      <c r="G138" s="18" t="str">
        <f aca="false">IF(COUNT(D138:F138)=3,SUM(D138:F138),"")</f>
        <v/>
      </c>
      <c r="H138" s="9"/>
    </row>
    <row r="139" customFormat="false" ht="15" hidden="false" customHeight="false" outlineLevel="0" collapsed="false">
      <c r="A139" s="18" t="s">
        <v>202</v>
      </c>
      <c r="B139" s="18" t="n">
        <v>4</v>
      </c>
      <c r="C139" s="18" t="s">
        <v>312</v>
      </c>
      <c r="D139" s="18"/>
      <c r="E139" s="18"/>
      <c r="F139" s="18"/>
      <c r="G139" s="18" t="str">
        <f aca="false">IF(COUNT(D139:F139)=3,SUM(D139:F139),"")</f>
        <v/>
      </c>
      <c r="H139" s="9"/>
    </row>
    <row r="140" customFormat="false" ht="15" hidden="false" customHeight="false" outlineLevel="0" collapsed="false">
      <c r="A140" s="18" t="s">
        <v>202</v>
      </c>
      <c r="B140" s="18" t="n">
        <v>4</v>
      </c>
      <c r="C140" s="18" t="s">
        <v>313</v>
      </c>
      <c r="D140" s="18"/>
      <c r="E140" s="18"/>
      <c r="F140" s="18"/>
      <c r="G140" s="18" t="str">
        <f aca="false">IF(COUNT(D140:F140)=3,SUM(D140:F140),"")</f>
        <v/>
      </c>
      <c r="H140" s="9"/>
    </row>
    <row r="141" customFormat="false" ht="15" hidden="false" customHeight="false" outlineLevel="0" collapsed="false">
      <c r="A141" s="18" t="s">
        <v>202</v>
      </c>
      <c r="B141" s="18" t="n">
        <v>4</v>
      </c>
      <c r="C141" s="18" t="s">
        <v>314</v>
      </c>
      <c r="D141" s="18"/>
      <c r="E141" s="18"/>
      <c r="F141" s="18"/>
      <c r="G141" s="18" t="str">
        <f aca="false">IF(COUNT(D141:F141)=3,SUM(D141:F141),"")</f>
        <v/>
      </c>
      <c r="H141" s="9"/>
    </row>
    <row r="142" customFormat="false" ht="15" hidden="false" customHeight="false" outlineLevel="0" collapsed="false">
      <c r="A142" s="18" t="s">
        <v>206</v>
      </c>
      <c r="B142" s="18" t="n">
        <v>4</v>
      </c>
      <c r="C142" s="18" t="s">
        <v>311</v>
      </c>
      <c r="D142" s="18"/>
      <c r="E142" s="18"/>
      <c r="F142" s="18"/>
      <c r="G142" s="18" t="str">
        <f aca="false">IF(COUNT(D142:F142)=3,SUM(D142:F142),"")</f>
        <v/>
      </c>
      <c r="H142" s="9"/>
    </row>
    <row r="143" customFormat="false" ht="15" hidden="false" customHeight="false" outlineLevel="0" collapsed="false">
      <c r="A143" s="18" t="s">
        <v>206</v>
      </c>
      <c r="B143" s="18" t="n">
        <v>4</v>
      </c>
      <c r="C143" s="18" t="s">
        <v>312</v>
      </c>
      <c r="D143" s="18"/>
      <c r="E143" s="18"/>
      <c r="F143" s="18"/>
      <c r="G143" s="18" t="str">
        <f aca="false">IF(COUNT(D143:F143)=3,SUM(D143:F143),"")</f>
        <v/>
      </c>
      <c r="H143" s="9"/>
    </row>
    <row r="144" customFormat="false" ht="15" hidden="false" customHeight="false" outlineLevel="0" collapsed="false">
      <c r="A144" s="18" t="s">
        <v>206</v>
      </c>
      <c r="B144" s="18" t="n">
        <v>4</v>
      </c>
      <c r="C144" s="18" t="s">
        <v>313</v>
      </c>
      <c r="D144" s="18"/>
      <c r="E144" s="18"/>
      <c r="F144" s="18"/>
      <c r="G144" s="18" t="str">
        <f aca="false">IF(COUNT(D144:F144)=3,SUM(D144:F144),"")</f>
        <v/>
      </c>
      <c r="H144" s="9"/>
    </row>
    <row r="145" customFormat="false" ht="15" hidden="false" customHeight="false" outlineLevel="0" collapsed="false">
      <c r="A145" s="18" t="s">
        <v>206</v>
      </c>
      <c r="B145" s="18" t="n">
        <v>4</v>
      </c>
      <c r="C145" s="18" t="s">
        <v>314</v>
      </c>
      <c r="D145" s="18"/>
      <c r="E145" s="18"/>
      <c r="F145" s="18"/>
      <c r="G145" s="18" t="str">
        <f aca="false">IF(COUNT(D145:F145)=3,SUM(D145:F145),"")</f>
        <v/>
      </c>
      <c r="H145" s="9"/>
    </row>
    <row r="146" customFormat="false" ht="15" hidden="false" customHeight="false" outlineLevel="0" collapsed="false">
      <c r="A146" s="18" t="s">
        <v>210</v>
      </c>
      <c r="B146" s="18" t="n">
        <v>4</v>
      </c>
      <c r="C146" s="18" t="s">
        <v>311</v>
      </c>
      <c r="D146" s="18"/>
      <c r="E146" s="18"/>
      <c r="F146" s="18"/>
      <c r="G146" s="18" t="str">
        <f aca="false">IF(COUNT(D146:F146)=3,SUM(D146:F146),"")</f>
        <v/>
      </c>
      <c r="H146" s="9"/>
    </row>
    <row r="147" customFormat="false" ht="15" hidden="false" customHeight="false" outlineLevel="0" collapsed="false">
      <c r="A147" s="18" t="s">
        <v>210</v>
      </c>
      <c r="B147" s="18" t="n">
        <v>4</v>
      </c>
      <c r="C147" s="18" t="s">
        <v>312</v>
      </c>
      <c r="D147" s="18"/>
      <c r="E147" s="18"/>
      <c r="F147" s="18"/>
      <c r="G147" s="18" t="str">
        <f aca="false">IF(COUNT(D147:F147)=3,SUM(D147:F147),"")</f>
        <v/>
      </c>
      <c r="H147" s="9"/>
    </row>
    <row r="148" customFormat="false" ht="15" hidden="false" customHeight="false" outlineLevel="0" collapsed="false">
      <c r="A148" s="18" t="s">
        <v>210</v>
      </c>
      <c r="B148" s="18" t="n">
        <v>4</v>
      </c>
      <c r="C148" s="18" t="s">
        <v>313</v>
      </c>
      <c r="D148" s="18"/>
      <c r="E148" s="18"/>
      <c r="F148" s="18"/>
      <c r="G148" s="18" t="str">
        <f aca="false">IF(COUNT(D148:F148)=3,SUM(D148:F148),"")</f>
        <v/>
      </c>
      <c r="H148" s="9"/>
    </row>
    <row r="149" customFormat="false" ht="15" hidden="false" customHeight="false" outlineLevel="0" collapsed="false">
      <c r="A149" s="18" t="s">
        <v>210</v>
      </c>
      <c r="B149" s="18" t="n">
        <v>4</v>
      </c>
      <c r="C149" s="18" t="s">
        <v>314</v>
      </c>
      <c r="D149" s="18"/>
      <c r="E149" s="18"/>
      <c r="F149" s="18"/>
      <c r="G149" s="18" t="str">
        <f aca="false">IF(COUNT(D149:F149)=3,SUM(D149:F149),"")</f>
        <v/>
      </c>
      <c r="H149" s="9"/>
    </row>
    <row r="150" customFormat="false" ht="15" hidden="false" customHeight="false" outlineLevel="0" collapsed="false">
      <c r="A150" s="18" t="s">
        <v>214</v>
      </c>
      <c r="B150" s="18" t="n">
        <v>4</v>
      </c>
      <c r="C150" s="18" t="s">
        <v>311</v>
      </c>
      <c r="D150" s="18"/>
      <c r="E150" s="18"/>
      <c r="F150" s="18"/>
      <c r="G150" s="18" t="str">
        <f aca="false">IF(COUNT(D150:F150)=3,SUM(D150:F150),"")</f>
        <v/>
      </c>
      <c r="H150" s="9"/>
    </row>
    <row r="151" customFormat="false" ht="15" hidden="false" customHeight="false" outlineLevel="0" collapsed="false">
      <c r="A151" s="18" t="s">
        <v>214</v>
      </c>
      <c r="B151" s="18" t="n">
        <v>4</v>
      </c>
      <c r="C151" s="18" t="s">
        <v>312</v>
      </c>
      <c r="D151" s="18"/>
      <c r="E151" s="18"/>
      <c r="F151" s="18"/>
      <c r="G151" s="18" t="str">
        <f aca="false">IF(COUNT(D151:F151)=3,SUM(D151:F151),"")</f>
        <v/>
      </c>
      <c r="H151" s="9"/>
    </row>
    <row r="152" customFormat="false" ht="15" hidden="false" customHeight="false" outlineLevel="0" collapsed="false">
      <c r="A152" s="18" t="s">
        <v>214</v>
      </c>
      <c r="B152" s="18" t="n">
        <v>4</v>
      </c>
      <c r="C152" s="18" t="s">
        <v>313</v>
      </c>
      <c r="D152" s="18"/>
      <c r="E152" s="18"/>
      <c r="F152" s="18"/>
      <c r="G152" s="18" t="str">
        <f aca="false">IF(COUNT(D152:F152)=3,SUM(D152:F152),"")</f>
        <v/>
      </c>
      <c r="H152" s="9"/>
    </row>
    <row r="153" customFormat="false" ht="15" hidden="false" customHeight="false" outlineLevel="0" collapsed="false">
      <c r="A153" s="18" t="s">
        <v>214</v>
      </c>
      <c r="B153" s="18" t="n">
        <v>4</v>
      </c>
      <c r="C153" s="18" t="s">
        <v>314</v>
      </c>
      <c r="D153" s="18"/>
      <c r="E153" s="18"/>
      <c r="F153" s="18"/>
      <c r="G153" s="18" t="str">
        <f aca="false">IF(COUNT(D153:F153)=3,SUM(D153:F153),"")</f>
        <v/>
      </c>
      <c r="H153" s="9"/>
    </row>
    <row r="154" customFormat="false" ht="15" hidden="false" customHeight="false" outlineLevel="0" collapsed="false">
      <c r="A154" s="18" t="s">
        <v>217</v>
      </c>
      <c r="B154" s="18" t="n">
        <v>4</v>
      </c>
      <c r="C154" s="18" t="s">
        <v>311</v>
      </c>
      <c r="D154" s="18"/>
      <c r="E154" s="18"/>
      <c r="F154" s="18"/>
      <c r="G154" s="18" t="str">
        <f aca="false">IF(COUNT(D154:F154)=3,SUM(D154:F154),"")</f>
        <v/>
      </c>
      <c r="H154" s="9"/>
    </row>
    <row r="155" customFormat="false" ht="15" hidden="false" customHeight="false" outlineLevel="0" collapsed="false">
      <c r="A155" s="18" t="s">
        <v>217</v>
      </c>
      <c r="B155" s="18" t="n">
        <v>4</v>
      </c>
      <c r="C155" s="18" t="s">
        <v>312</v>
      </c>
      <c r="D155" s="18"/>
      <c r="E155" s="18"/>
      <c r="F155" s="18"/>
      <c r="G155" s="18" t="str">
        <f aca="false">IF(COUNT(D155:F155)=3,SUM(D155:F155),"")</f>
        <v/>
      </c>
      <c r="H155" s="9"/>
    </row>
    <row r="156" customFormat="false" ht="15" hidden="false" customHeight="false" outlineLevel="0" collapsed="false">
      <c r="A156" s="18" t="s">
        <v>217</v>
      </c>
      <c r="B156" s="18" t="n">
        <v>4</v>
      </c>
      <c r="C156" s="18" t="s">
        <v>313</v>
      </c>
      <c r="D156" s="18"/>
      <c r="E156" s="18"/>
      <c r="F156" s="18"/>
      <c r="G156" s="18" t="str">
        <f aca="false">IF(COUNT(D156:F156)=3,SUM(D156:F156),"")</f>
        <v/>
      </c>
      <c r="H156" s="9"/>
    </row>
    <row r="157" customFormat="false" ht="15" hidden="false" customHeight="false" outlineLevel="0" collapsed="false">
      <c r="A157" s="18" t="s">
        <v>217</v>
      </c>
      <c r="B157" s="18" t="n">
        <v>4</v>
      </c>
      <c r="C157" s="18" t="s">
        <v>314</v>
      </c>
      <c r="D157" s="18"/>
      <c r="E157" s="18"/>
      <c r="F157" s="18"/>
      <c r="G157" s="18" t="str">
        <f aca="false">IF(COUNT(D157:F157)=3,SUM(D157:F157),"")</f>
        <v/>
      </c>
      <c r="H157" s="9"/>
    </row>
    <row r="158" customFormat="false" ht="15" hidden="false" customHeight="false" outlineLevel="0" collapsed="false">
      <c r="A158" s="18" t="s">
        <v>221</v>
      </c>
      <c r="B158" s="18" t="n">
        <v>4</v>
      </c>
      <c r="C158" s="18" t="s">
        <v>311</v>
      </c>
      <c r="D158" s="18"/>
      <c r="E158" s="18"/>
      <c r="F158" s="18"/>
      <c r="G158" s="18" t="str">
        <f aca="false">IF(COUNT(D158:F158)=3,SUM(D158:F158),"")</f>
        <v/>
      </c>
      <c r="H158" s="9"/>
    </row>
    <row r="159" customFormat="false" ht="15" hidden="false" customHeight="false" outlineLevel="0" collapsed="false">
      <c r="A159" s="18" t="s">
        <v>221</v>
      </c>
      <c r="B159" s="18" t="n">
        <v>4</v>
      </c>
      <c r="C159" s="18" t="s">
        <v>312</v>
      </c>
      <c r="D159" s="18"/>
      <c r="E159" s="18"/>
      <c r="F159" s="18"/>
      <c r="G159" s="18" t="str">
        <f aca="false">IF(COUNT(D159:F159)=3,SUM(D159:F159),"")</f>
        <v/>
      </c>
      <c r="H159" s="9"/>
    </row>
    <row r="160" customFormat="false" ht="15" hidden="false" customHeight="false" outlineLevel="0" collapsed="false">
      <c r="A160" s="18" t="s">
        <v>221</v>
      </c>
      <c r="B160" s="18" t="n">
        <v>4</v>
      </c>
      <c r="C160" s="18" t="s">
        <v>313</v>
      </c>
      <c r="D160" s="18"/>
      <c r="E160" s="18"/>
      <c r="F160" s="18"/>
      <c r="G160" s="18" t="str">
        <f aca="false">IF(COUNT(D160:F160)=3,SUM(D160:F160),"")</f>
        <v/>
      </c>
      <c r="H160" s="9"/>
    </row>
    <row r="161" customFormat="false" ht="15" hidden="false" customHeight="false" outlineLevel="0" collapsed="false">
      <c r="A161" s="18" t="s">
        <v>221</v>
      </c>
      <c r="B161" s="18" t="n">
        <v>4</v>
      </c>
      <c r="C161" s="18" t="s">
        <v>314</v>
      </c>
      <c r="D161" s="18"/>
      <c r="E161" s="18"/>
      <c r="F161" s="18"/>
      <c r="G161" s="18" t="str">
        <f aca="false">IF(COUNT(D161:F161)=3,SUM(D161:F161),"")</f>
        <v/>
      </c>
      <c r="H161" s="9"/>
    </row>
    <row r="162" customFormat="false" ht="15" hidden="false" customHeight="false" outlineLevel="0" collapsed="false">
      <c r="A162" s="18" t="s">
        <v>225</v>
      </c>
      <c r="B162" s="18" t="n">
        <v>5</v>
      </c>
      <c r="C162" s="18" t="s">
        <v>311</v>
      </c>
      <c r="D162" s="18"/>
      <c r="E162" s="18"/>
      <c r="F162" s="18"/>
      <c r="G162" s="18" t="str">
        <f aca="false">IF(COUNT(D162:F162)=3,SUM(D162:F162),"")</f>
        <v/>
      </c>
      <c r="H162" s="9"/>
    </row>
    <row r="163" customFormat="false" ht="15" hidden="false" customHeight="false" outlineLevel="0" collapsed="false">
      <c r="A163" s="18" t="s">
        <v>225</v>
      </c>
      <c r="B163" s="18" t="n">
        <v>5</v>
      </c>
      <c r="C163" s="18" t="s">
        <v>312</v>
      </c>
      <c r="D163" s="18"/>
      <c r="E163" s="18"/>
      <c r="F163" s="18"/>
      <c r="G163" s="18" t="str">
        <f aca="false">IF(COUNT(D163:F163)=3,SUM(D163:F163),"")</f>
        <v/>
      </c>
      <c r="H163" s="9"/>
    </row>
    <row r="164" customFormat="false" ht="15" hidden="false" customHeight="false" outlineLevel="0" collapsed="false">
      <c r="A164" s="18" t="s">
        <v>225</v>
      </c>
      <c r="B164" s="18" t="n">
        <v>5</v>
      </c>
      <c r="C164" s="18" t="s">
        <v>313</v>
      </c>
      <c r="D164" s="18"/>
      <c r="E164" s="18"/>
      <c r="F164" s="18"/>
      <c r="G164" s="18" t="str">
        <f aca="false">IF(COUNT(D164:F164)=3,SUM(D164:F164),"")</f>
        <v/>
      </c>
      <c r="H164" s="9"/>
    </row>
    <row r="165" customFormat="false" ht="15" hidden="false" customHeight="false" outlineLevel="0" collapsed="false">
      <c r="A165" s="18" t="s">
        <v>225</v>
      </c>
      <c r="B165" s="18" t="n">
        <v>5</v>
      </c>
      <c r="C165" s="18" t="s">
        <v>314</v>
      </c>
      <c r="D165" s="18"/>
      <c r="E165" s="18"/>
      <c r="F165" s="18"/>
      <c r="G165" s="18" t="str">
        <f aca="false">IF(COUNT(D165:F165)=3,SUM(D165:F165),"")</f>
        <v/>
      </c>
      <c r="H165" s="9"/>
    </row>
    <row r="166" customFormat="false" ht="15" hidden="false" customHeight="false" outlineLevel="0" collapsed="false">
      <c r="A166" s="18" t="s">
        <v>230</v>
      </c>
      <c r="B166" s="18" t="n">
        <v>5</v>
      </c>
      <c r="C166" s="18" t="s">
        <v>311</v>
      </c>
      <c r="D166" s="18"/>
      <c r="E166" s="18"/>
      <c r="F166" s="18"/>
      <c r="G166" s="18" t="str">
        <f aca="false">IF(COUNT(D166:F166)=3,SUM(D166:F166),"")</f>
        <v/>
      </c>
      <c r="H166" s="9"/>
    </row>
    <row r="167" customFormat="false" ht="15" hidden="false" customHeight="false" outlineLevel="0" collapsed="false">
      <c r="A167" s="18" t="s">
        <v>230</v>
      </c>
      <c r="B167" s="18" t="n">
        <v>5</v>
      </c>
      <c r="C167" s="18" t="s">
        <v>312</v>
      </c>
      <c r="D167" s="18"/>
      <c r="E167" s="18"/>
      <c r="F167" s="18"/>
      <c r="G167" s="18" t="str">
        <f aca="false">IF(COUNT(D167:F167)=3,SUM(D167:F167),"")</f>
        <v/>
      </c>
      <c r="H167" s="9"/>
    </row>
    <row r="168" customFormat="false" ht="15" hidden="false" customHeight="false" outlineLevel="0" collapsed="false">
      <c r="A168" s="18" t="s">
        <v>230</v>
      </c>
      <c r="B168" s="18" t="n">
        <v>5</v>
      </c>
      <c r="C168" s="18" t="s">
        <v>313</v>
      </c>
      <c r="D168" s="18"/>
      <c r="E168" s="18"/>
      <c r="F168" s="18"/>
      <c r="G168" s="18" t="str">
        <f aca="false">IF(COUNT(D168:F168)=3,SUM(D168:F168),"")</f>
        <v/>
      </c>
      <c r="H168" s="9"/>
    </row>
    <row r="169" customFormat="false" ht="15" hidden="false" customHeight="false" outlineLevel="0" collapsed="false">
      <c r="A169" s="18" t="s">
        <v>230</v>
      </c>
      <c r="B169" s="18" t="n">
        <v>5</v>
      </c>
      <c r="C169" s="18" t="s">
        <v>314</v>
      </c>
      <c r="D169" s="18"/>
      <c r="E169" s="18"/>
      <c r="F169" s="18"/>
      <c r="G169" s="18" t="str">
        <f aca="false">IF(COUNT(D169:F169)=3,SUM(D169:F169),"")</f>
        <v/>
      </c>
      <c r="H169" s="9"/>
    </row>
    <row r="170" customFormat="false" ht="15" hidden="false" customHeight="false" outlineLevel="0" collapsed="false">
      <c r="A170" s="18" t="s">
        <v>234</v>
      </c>
      <c r="B170" s="18" t="n">
        <v>5</v>
      </c>
      <c r="C170" s="18" t="s">
        <v>311</v>
      </c>
      <c r="D170" s="18"/>
      <c r="E170" s="18"/>
      <c r="F170" s="18"/>
      <c r="G170" s="18" t="str">
        <f aca="false">IF(COUNT(D170:F170)=3,SUM(D170:F170),"")</f>
        <v/>
      </c>
      <c r="H170" s="9"/>
    </row>
    <row r="171" customFormat="false" ht="15" hidden="false" customHeight="false" outlineLevel="0" collapsed="false">
      <c r="A171" s="18" t="s">
        <v>234</v>
      </c>
      <c r="B171" s="18" t="n">
        <v>5</v>
      </c>
      <c r="C171" s="18" t="s">
        <v>312</v>
      </c>
      <c r="D171" s="18"/>
      <c r="E171" s="18"/>
      <c r="F171" s="18"/>
      <c r="G171" s="18" t="str">
        <f aca="false">IF(COUNT(D171:F171)=3,SUM(D171:F171),"")</f>
        <v/>
      </c>
      <c r="H171" s="9"/>
    </row>
    <row r="172" customFormat="false" ht="15" hidden="false" customHeight="false" outlineLevel="0" collapsed="false">
      <c r="A172" s="18" t="s">
        <v>234</v>
      </c>
      <c r="B172" s="18" t="n">
        <v>5</v>
      </c>
      <c r="C172" s="18" t="s">
        <v>313</v>
      </c>
      <c r="D172" s="18"/>
      <c r="E172" s="18"/>
      <c r="F172" s="18"/>
      <c r="G172" s="18" t="str">
        <f aca="false">IF(COUNT(D172:F172)=3,SUM(D172:F172),"")</f>
        <v/>
      </c>
      <c r="H172" s="9"/>
    </row>
    <row r="173" customFormat="false" ht="15" hidden="false" customHeight="false" outlineLevel="0" collapsed="false">
      <c r="A173" s="18" t="s">
        <v>234</v>
      </c>
      <c r="B173" s="18" t="n">
        <v>5</v>
      </c>
      <c r="C173" s="18" t="s">
        <v>314</v>
      </c>
      <c r="D173" s="18"/>
      <c r="E173" s="18"/>
      <c r="F173" s="18"/>
      <c r="G173" s="18" t="str">
        <f aca="false">IF(COUNT(D173:F173)=3,SUM(D173:F173),"")</f>
        <v/>
      </c>
      <c r="H173" s="9"/>
    </row>
    <row r="174" customFormat="false" ht="15" hidden="false" customHeight="false" outlineLevel="0" collapsed="false">
      <c r="A174" s="18" t="s">
        <v>238</v>
      </c>
      <c r="B174" s="18" t="n">
        <v>5</v>
      </c>
      <c r="C174" s="18" t="s">
        <v>311</v>
      </c>
      <c r="D174" s="18"/>
      <c r="E174" s="18"/>
      <c r="F174" s="18"/>
      <c r="G174" s="18" t="str">
        <f aca="false">IF(COUNT(D174:F174)=3,SUM(D174:F174),"")</f>
        <v/>
      </c>
      <c r="H174" s="9"/>
    </row>
    <row r="175" customFormat="false" ht="15" hidden="false" customHeight="false" outlineLevel="0" collapsed="false">
      <c r="A175" s="18" t="s">
        <v>238</v>
      </c>
      <c r="B175" s="18" t="n">
        <v>5</v>
      </c>
      <c r="C175" s="18" t="s">
        <v>312</v>
      </c>
      <c r="D175" s="18"/>
      <c r="E175" s="18"/>
      <c r="F175" s="18"/>
      <c r="G175" s="18" t="str">
        <f aca="false">IF(COUNT(D175:F175)=3,SUM(D175:F175),"")</f>
        <v/>
      </c>
      <c r="H175" s="9"/>
    </row>
    <row r="176" customFormat="false" ht="15" hidden="false" customHeight="false" outlineLevel="0" collapsed="false">
      <c r="A176" s="18" t="s">
        <v>238</v>
      </c>
      <c r="B176" s="18" t="n">
        <v>5</v>
      </c>
      <c r="C176" s="18" t="s">
        <v>313</v>
      </c>
      <c r="D176" s="18"/>
      <c r="E176" s="18"/>
      <c r="F176" s="18"/>
      <c r="G176" s="18" t="str">
        <f aca="false">IF(COUNT(D176:F176)=3,SUM(D176:F176),"")</f>
        <v/>
      </c>
      <c r="H176" s="9"/>
    </row>
    <row r="177" customFormat="false" ht="15" hidden="false" customHeight="false" outlineLevel="0" collapsed="false">
      <c r="A177" s="18" t="s">
        <v>238</v>
      </c>
      <c r="B177" s="18" t="n">
        <v>5</v>
      </c>
      <c r="C177" s="18" t="s">
        <v>314</v>
      </c>
      <c r="D177" s="18"/>
      <c r="E177" s="18"/>
      <c r="F177" s="18"/>
      <c r="G177" s="18" t="str">
        <f aca="false">IF(COUNT(D177:F177)=3,SUM(D177:F177),"")</f>
        <v/>
      </c>
      <c r="H177" s="9"/>
    </row>
    <row r="178" customFormat="false" ht="15" hidden="false" customHeight="false" outlineLevel="0" collapsed="false">
      <c r="A178" s="18" t="s">
        <v>242</v>
      </c>
      <c r="B178" s="18" t="n">
        <v>5</v>
      </c>
      <c r="C178" s="18" t="s">
        <v>311</v>
      </c>
      <c r="D178" s="18"/>
      <c r="E178" s="18"/>
      <c r="F178" s="18"/>
      <c r="G178" s="18" t="str">
        <f aca="false">IF(COUNT(D178:F178)=3,SUM(D178:F178),"")</f>
        <v/>
      </c>
      <c r="H178" s="9"/>
    </row>
    <row r="179" customFormat="false" ht="15" hidden="false" customHeight="false" outlineLevel="0" collapsed="false">
      <c r="A179" s="18" t="s">
        <v>242</v>
      </c>
      <c r="B179" s="18" t="n">
        <v>5</v>
      </c>
      <c r="C179" s="18" t="s">
        <v>312</v>
      </c>
      <c r="D179" s="18"/>
      <c r="E179" s="18"/>
      <c r="F179" s="18"/>
      <c r="G179" s="18" t="str">
        <f aca="false">IF(COUNT(D179:F179)=3,SUM(D179:F179),"")</f>
        <v/>
      </c>
      <c r="H179" s="9"/>
    </row>
    <row r="180" customFormat="false" ht="15" hidden="false" customHeight="false" outlineLevel="0" collapsed="false">
      <c r="A180" s="18" t="s">
        <v>242</v>
      </c>
      <c r="B180" s="18" t="n">
        <v>5</v>
      </c>
      <c r="C180" s="18" t="s">
        <v>313</v>
      </c>
      <c r="D180" s="18"/>
      <c r="E180" s="18"/>
      <c r="F180" s="18"/>
      <c r="G180" s="18" t="str">
        <f aca="false">IF(COUNT(D180:F180)=3,SUM(D180:F180),"")</f>
        <v/>
      </c>
      <c r="H180" s="9"/>
    </row>
    <row r="181" customFormat="false" ht="15" hidden="false" customHeight="false" outlineLevel="0" collapsed="false">
      <c r="A181" s="18" t="s">
        <v>242</v>
      </c>
      <c r="B181" s="18" t="n">
        <v>5</v>
      </c>
      <c r="C181" s="18" t="s">
        <v>314</v>
      </c>
      <c r="D181" s="18"/>
      <c r="E181" s="18"/>
      <c r="F181" s="18"/>
      <c r="G181" s="18" t="str">
        <f aca="false">IF(COUNT(D181:F181)=3,SUM(D181:F181),"")</f>
        <v/>
      </c>
      <c r="H181" s="9"/>
    </row>
    <row r="182" customFormat="false" ht="15" hidden="false" customHeight="false" outlineLevel="0" collapsed="false">
      <c r="A182" s="18" t="s">
        <v>246</v>
      </c>
      <c r="B182" s="18" t="n">
        <v>5</v>
      </c>
      <c r="C182" s="18" t="s">
        <v>311</v>
      </c>
      <c r="D182" s="18"/>
      <c r="E182" s="18"/>
      <c r="F182" s="18"/>
      <c r="G182" s="18" t="str">
        <f aca="false">IF(COUNT(D182:F182)=3,SUM(D182:F182),"")</f>
        <v/>
      </c>
      <c r="H182" s="9"/>
    </row>
    <row r="183" customFormat="false" ht="15" hidden="false" customHeight="false" outlineLevel="0" collapsed="false">
      <c r="A183" s="18" t="s">
        <v>246</v>
      </c>
      <c r="B183" s="18" t="n">
        <v>5</v>
      </c>
      <c r="C183" s="18" t="s">
        <v>312</v>
      </c>
      <c r="D183" s="18"/>
      <c r="E183" s="18"/>
      <c r="F183" s="18"/>
      <c r="G183" s="18" t="str">
        <f aca="false">IF(COUNT(D183:F183)=3,SUM(D183:F183),"")</f>
        <v/>
      </c>
      <c r="H183" s="9"/>
    </row>
    <row r="184" customFormat="false" ht="15" hidden="false" customHeight="false" outlineLevel="0" collapsed="false">
      <c r="A184" s="18" t="s">
        <v>246</v>
      </c>
      <c r="B184" s="18" t="n">
        <v>5</v>
      </c>
      <c r="C184" s="18" t="s">
        <v>313</v>
      </c>
      <c r="D184" s="18"/>
      <c r="E184" s="18"/>
      <c r="F184" s="18"/>
      <c r="G184" s="18" t="str">
        <f aca="false">IF(COUNT(D184:F184)=3,SUM(D184:F184),"")</f>
        <v/>
      </c>
      <c r="H184" s="9"/>
    </row>
    <row r="185" customFormat="false" ht="15" hidden="false" customHeight="false" outlineLevel="0" collapsed="false">
      <c r="A185" s="18" t="s">
        <v>246</v>
      </c>
      <c r="B185" s="18" t="n">
        <v>5</v>
      </c>
      <c r="C185" s="18" t="s">
        <v>314</v>
      </c>
      <c r="D185" s="18"/>
      <c r="E185" s="18"/>
      <c r="F185" s="18"/>
      <c r="G185" s="18" t="str">
        <f aca="false">IF(COUNT(D185:F185)=3,SUM(D185:F185),"")</f>
        <v/>
      </c>
      <c r="H185" s="9"/>
    </row>
    <row r="186" customFormat="false" ht="15" hidden="false" customHeight="false" outlineLevel="0" collapsed="false">
      <c r="A186" s="18" t="s">
        <v>250</v>
      </c>
      <c r="B186" s="18" t="n">
        <v>5</v>
      </c>
      <c r="C186" s="18" t="s">
        <v>311</v>
      </c>
      <c r="D186" s="18"/>
      <c r="E186" s="18"/>
      <c r="F186" s="18"/>
      <c r="G186" s="18" t="str">
        <f aca="false">IF(COUNT(D186:F186)=3,SUM(D186:F186),"")</f>
        <v/>
      </c>
      <c r="H186" s="9"/>
    </row>
    <row r="187" customFormat="false" ht="15" hidden="false" customHeight="false" outlineLevel="0" collapsed="false">
      <c r="A187" s="18" t="s">
        <v>250</v>
      </c>
      <c r="B187" s="18" t="n">
        <v>5</v>
      </c>
      <c r="C187" s="18" t="s">
        <v>312</v>
      </c>
      <c r="D187" s="18"/>
      <c r="E187" s="18"/>
      <c r="F187" s="18"/>
      <c r="G187" s="18" t="str">
        <f aca="false">IF(COUNT(D187:F187)=3,SUM(D187:F187),"")</f>
        <v/>
      </c>
      <c r="H187" s="9"/>
    </row>
    <row r="188" customFormat="false" ht="15" hidden="false" customHeight="false" outlineLevel="0" collapsed="false">
      <c r="A188" s="18" t="s">
        <v>250</v>
      </c>
      <c r="B188" s="18" t="n">
        <v>5</v>
      </c>
      <c r="C188" s="18" t="s">
        <v>313</v>
      </c>
      <c r="D188" s="18"/>
      <c r="E188" s="18"/>
      <c r="F188" s="18"/>
      <c r="G188" s="18" t="str">
        <f aca="false">IF(COUNT(D188:F188)=3,SUM(D188:F188),"")</f>
        <v/>
      </c>
      <c r="H188" s="9"/>
    </row>
    <row r="189" customFormat="false" ht="15" hidden="false" customHeight="false" outlineLevel="0" collapsed="false">
      <c r="A189" s="18" t="s">
        <v>250</v>
      </c>
      <c r="B189" s="18" t="n">
        <v>5</v>
      </c>
      <c r="C189" s="18" t="s">
        <v>314</v>
      </c>
      <c r="D189" s="18"/>
      <c r="E189" s="18"/>
      <c r="F189" s="18"/>
      <c r="G189" s="18" t="str">
        <f aca="false">IF(COUNT(D189:F189)=3,SUM(D189:F189),"")</f>
        <v/>
      </c>
      <c r="H189" s="9"/>
    </row>
    <row r="190" customFormat="false" ht="15" hidden="false" customHeight="false" outlineLevel="0" collapsed="false">
      <c r="A190" s="18" t="s">
        <v>255</v>
      </c>
      <c r="B190" s="18" t="n">
        <v>5</v>
      </c>
      <c r="C190" s="18" t="s">
        <v>311</v>
      </c>
      <c r="D190" s="18"/>
      <c r="E190" s="18"/>
      <c r="F190" s="18"/>
      <c r="G190" s="18" t="str">
        <f aca="false">IF(COUNT(D190:F190)=3,SUM(D190:F190),"")</f>
        <v/>
      </c>
      <c r="H190" s="9"/>
    </row>
    <row r="191" customFormat="false" ht="15" hidden="false" customHeight="false" outlineLevel="0" collapsed="false">
      <c r="A191" s="18" t="s">
        <v>255</v>
      </c>
      <c r="B191" s="18" t="n">
        <v>5</v>
      </c>
      <c r="C191" s="18" t="s">
        <v>312</v>
      </c>
      <c r="D191" s="18"/>
      <c r="E191" s="18"/>
      <c r="F191" s="18"/>
      <c r="G191" s="18" t="str">
        <f aca="false">IF(COUNT(D191:F191)=3,SUM(D191:F191),"")</f>
        <v/>
      </c>
      <c r="H191" s="9"/>
    </row>
    <row r="192" customFormat="false" ht="15" hidden="false" customHeight="false" outlineLevel="0" collapsed="false">
      <c r="A192" s="18" t="s">
        <v>255</v>
      </c>
      <c r="B192" s="18" t="n">
        <v>5</v>
      </c>
      <c r="C192" s="18" t="s">
        <v>313</v>
      </c>
      <c r="D192" s="18"/>
      <c r="E192" s="18"/>
      <c r="F192" s="18"/>
      <c r="G192" s="18" t="str">
        <f aca="false">IF(COUNT(D192:F192)=3,SUM(D192:F192),"")</f>
        <v/>
      </c>
      <c r="H192" s="9"/>
    </row>
    <row r="193" customFormat="false" ht="15" hidden="false" customHeight="false" outlineLevel="0" collapsed="false">
      <c r="A193" s="18" t="s">
        <v>255</v>
      </c>
      <c r="B193" s="18" t="n">
        <v>5</v>
      </c>
      <c r="C193" s="18" t="s">
        <v>314</v>
      </c>
      <c r="D193" s="18"/>
      <c r="E193" s="18"/>
      <c r="F193" s="18"/>
      <c r="G193" s="18" t="str">
        <f aca="false">IF(COUNT(D193:F193)=3,SUM(D193:F193),"")</f>
        <v/>
      </c>
      <c r="H193" s="9"/>
    </row>
    <row r="194" customFormat="false" ht="15" hidden="false" customHeight="false" outlineLevel="0" collapsed="false">
      <c r="A194" s="18" t="s">
        <v>259</v>
      </c>
      <c r="B194" s="18" t="n">
        <v>5</v>
      </c>
      <c r="C194" s="18" t="s">
        <v>311</v>
      </c>
      <c r="D194" s="18"/>
      <c r="E194" s="18"/>
      <c r="F194" s="18"/>
      <c r="G194" s="18" t="str">
        <f aca="false">IF(COUNT(D194:F194)=3,SUM(D194:F194),"")</f>
        <v/>
      </c>
      <c r="H194" s="9"/>
    </row>
    <row r="195" customFormat="false" ht="15" hidden="false" customHeight="false" outlineLevel="0" collapsed="false">
      <c r="A195" s="18" t="s">
        <v>259</v>
      </c>
      <c r="B195" s="18" t="n">
        <v>5</v>
      </c>
      <c r="C195" s="18" t="s">
        <v>312</v>
      </c>
      <c r="D195" s="18"/>
      <c r="E195" s="18"/>
      <c r="F195" s="18"/>
      <c r="G195" s="18" t="str">
        <f aca="false">IF(COUNT(D195:F195)=3,SUM(D195:F195),"")</f>
        <v/>
      </c>
      <c r="H195" s="9"/>
    </row>
    <row r="196" customFormat="false" ht="15" hidden="false" customHeight="false" outlineLevel="0" collapsed="false">
      <c r="A196" s="18" t="s">
        <v>259</v>
      </c>
      <c r="B196" s="18" t="n">
        <v>5</v>
      </c>
      <c r="C196" s="18" t="s">
        <v>313</v>
      </c>
      <c r="D196" s="18"/>
      <c r="E196" s="18"/>
      <c r="F196" s="18"/>
      <c r="G196" s="18" t="str">
        <f aca="false">IF(COUNT(D196:F196)=3,SUM(D196:F196),"")</f>
        <v/>
      </c>
      <c r="H196" s="9"/>
    </row>
    <row r="197" customFormat="false" ht="15" hidden="false" customHeight="false" outlineLevel="0" collapsed="false">
      <c r="A197" s="18" t="s">
        <v>259</v>
      </c>
      <c r="B197" s="18" t="n">
        <v>5</v>
      </c>
      <c r="C197" s="18" t="s">
        <v>314</v>
      </c>
      <c r="D197" s="18"/>
      <c r="E197" s="18"/>
      <c r="F197" s="18"/>
      <c r="G197" s="18" t="str">
        <f aca="false">IF(COUNT(D197:F197)=3,SUM(D197:F197),"")</f>
        <v/>
      </c>
      <c r="H197" s="9"/>
    </row>
    <row r="198" customFormat="false" ht="15" hidden="false" customHeight="false" outlineLevel="0" collapsed="false">
      <c r="A198" s="18" t="s">
        <v>263</v>
      </c>
      <c r="B198" s="18" t="n">
        <v>5</v>
      </c>
      <c r="C198" s="18" t="s">
        <v>311</v>
      </c>
      <c r="D198" s="18"/>
      <c r="E198" s="18"/>
      <c r="F198" s="18"/>
      <c r="G198" s="18" t="str">
        <f aca="false">IF(COUNT(D198:F198)=3,SUM(D198:F198),"")</f>
        <v/>
      </c>
      <c r="H198" s="9"/>
    </row>
    <row r="199" customFormat="false" ht="15" hidden="false" customHeight="false" outlineLevel="0" collapsed="false">
      <c r="A199" s="18" t="s">
        <v>263</v>
      </c>
      <c r="B199" s="18" t="n">
        <v>5</v>
      </c>
      <c r="C199" s="18" t="s">
        <v>312</v>
      </c>
      <c r="D199" s="18"/>
      <c r="E199" s="18"/>
      <c r="F199" s="18"/>
      <c r="G199" s="18" t="str">
        <f aca="false">IF(COUNT(D199:F199)=3,SUM(D199:F199),"")</f>
        <v/>
      </c>
      <c r="H199" s="9"/>
    </row>
    <row r="200" customFormat="false" ht="15" hidden="false" customHeight="false" outlineLevel="0" collapsed="false">
      <c r="A200" s="18" t="s">
        <v>263</v>
      </c>
      <c r="B200" s="18" t="n">
        <v>5</v>
      </c>
      <c r="C200" s="18" t="s">
        <v>313</v>
      </c>
      <c r="D200" s="18"/>
      <c r="E200" s="18"/>
      <c r="F200" s="18"/>
      <c r="G200" s="18" t="str">
        <f aca="false">IF(COUNT(D200:F200)=3,SUM(D200:F200),"")</f>
        <v/>
      </c>
      <c r="H200" s="9"/>
    </row>
    <row r="201" customFormat="false" ht="15" hidden="false" customHeight="false" outlineLevel="0" collapsed="false">
      <c r="A201" s="18" t="s">
        <v>263</v>
      </c>
      <c r="B201" s="18" t="n">
        <v>5</v>
      </c>
      <c r="C201" s="18" t="s">
        <v>314</v>
      </c>
      <c r="D201" s="18"/>
      <c r="E201" s="18"/>
      <c r="F201" s="18"/>
      <c r="G201" s="18" t="str">
        <f aca="false">IF(COUNT(D201:F201)=3,SUM(D201:F201),"")</f>
        <v/>
      </c>
      <c r="H201"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6"/>
    <col collapsed="false" customWidth="true" hidden="false" outlineLevel="0" max="3" min="3" style="0" width="24"/>
    <col collapsed="false" customWidth="true" hidden="false" outlineLevel="0" max="5" min="4" style="0" width="15"/>
    <col collapsed="false" customWidth="true" hidden="false" outlineLevel="0" max="6" min="6" style="0" width="18"/>
    <col collapsed="false" customWidth="true" hidden="false" outlineLevel="0" max="7" min="7" style="0" width="11"/>
    <col collapsed="false" customWidth="true" hidden="false" outlineLevel="0" max="8" min="8" style="0" width="46"/>
  </cols>
  <sheetData>
    <row r="1" customFormat="false" ht="30" hidden="false" customHeight="true" outlineLevel="0" collapsed="false">
      <c r="A1" s="6" t="s">
        <v>46</v>
      </c>
      <c r="B1" s="6" t="s">
        <v>47</v>
      </c>
      <c r="C1" s="6" t="s">
        <v>308</v>
      </c>
      <c r="D1" s="6" t="s">
        <v>315</v>
      </c>
      <c r="E1" s="6" t="s">
        <v>316</v>
      </c>
      <c r="F1" s="6" t="s">
        <v>317</v>
      </c>
      <c r="G1" s="6" t="s">
        <v>318</v>
      </c>
      <c r="H1" s="6" t="s">
        <v>319</v>
      </c>
    </row>
    <row r="2" customFormat="false" ht="15" hidden="false" customHeight="false" outlineLevel="0" collapsed="false">
      <c r="A2" s="18" t="s">
        <v>54</v>
      </c>
      <c r="B2" s="18" t="n">
        <v>1</v>
      </c>
      <c r="C2" s="18" t="s">
        <v>311</v>
      </c>
      <c r="D2" s="18"/>
      <c r="E2" s="18"/>
      <c r="F2" s="18"/>
      <c r="G2" s="18" t="str">
        <f aca="false">IF(COUNT(D2:F2)=3,SUM(D2:F2),"")</f>
        <v/>
      </c>
      <c r="H2" s="9"/>
    </row>
    <row r="3" customFormat="false" ht="15" hidden="false" customHeight="false" outlineLevel="0" collapsed="false">
      <c r="A3" s="18" t="s">
        <v>54</v>
      </c>
      <c r="B3" s="18" t="n">
        <v>1</v>
      </c>
      <c r="C3" s="18" t="s">
        <v>312</v>
      </c>
      <c r="D3" s="18"/>
      <c r="E3" s="18"/>
      <c r="F3" s="18"/>
      <c r="G3" s="18" t="str">
        <f aca="false">IF(COUNT(D3:F3)=3,SUM(D3:F3),"")</f>
        <v/>
      </c>
      <c r="H3" s="9"/>
    </row>
    <row r="4" customFormat="false" ht="15" hidden="false" customHeight="false" outlineLevel="0" collapsed="false">
      <c r="A4" s="18" t="s">
        <v>54</v>
      </c>
      <c r="B4" s="18" t="n">
        <v>1</v>
      </c>
      <c r="C4" s="18" t="s">
        <v>313</v>
      </c>
      <c r="D4" s="18"/>
      <c r="E4" s="18"/>
      <c r="F4" s="18"/>
      <c r="G4" s="18" t="str">
        <f aca="false">IF(COUNT(D4:F4)=3,SUM(D4:F4),"")</f>
        <v/>
      </c>
      <c r="H4" s="9"/>
    </row>
    <row r="5" customFormat="false" ht="15" hidden="false" customHeight="false" outlineLevel="0" collapsed="false">
      <c r="A5" s="18" t="s">
        <v>54</v>
      </c>
      <c r="B5" s="18" t="n">
        <v>1</v>
      </c>
      <c r="C5" s="18" t="s">
        <v>314</v>
      </c>
      <c r="D5" s="18"/>
      <c r="E5" s="18"/>
      <c r="F5" s="18"/>
      <c r="G5" s="18" t="str">
        <f aca="false">IF(COUNT(D5:F5)=3,SUM(D5:F5),"")</f>
        <v/>
      </c>
      <c r="H5" s="9"/>
    </row>
    <row r="6" customFormat="false" ht="15" hidden="false" customHeight="false" outlineLevel="0" collapsed="false">
      <c r="A6" s="18" t="s">
        <v>61</v>
      </c>
      <c r="B6" s="18" t="n">
        <v>1</v>
      </c>
      <c r="C6" s="18" t="s">
        <v>311</v>
      </c>
      <c r="D6" s="18"/>
      <c r="E6" s="18"/>
      <c r="F6" s="18"/>
      <c r="G6" s="18" t="str">
        <f aca="false">IF(COUNT(D6:F6)=3,SUM(D6:F6),"")</f>
        <v/>
      </c>
      <c r="H6" s="9"/>
    </row>
    <row r="7" customFormat="false" ht="15" hidden="false" customHeight="false" outlineLevel="0" collapsed="false">
      <c r="A7" s="18" t="s">
        <v>61</v>
      </c>
      <c r="B7" s="18" t="n">
        <v>1</v>
      </c>
      <c r="C7" s="18" t="s">
        <v>312</v>
      </c>
      <c r="D7" s="18"/>
      <c r="E7" s="18"/>
      <c r="F7" s="18"/>
      <c r="G7" s="18" t="str">
        <f aca="false">IF(COUNT(D7:F7)=3,SUM(D7:F7),"")</f>
        <v/>
      </c>
      <c r="H7" s="9"/>
    </row>
    <row r="8" customFormat="false" ht="15" hidden="false" customHeight="false" outlineLevel="0" collapsed="false">
      <c r="A8" s="18" t="s">
        <v>61</v>
      </c>
      <c r="B8" s="18" t="n">
        <v>1</v>
      </c>
      <c r="C8" s="18" t="s">
        <v>313</v>
      </c>
      <c r="D8" s="18"/>
      <c r="E8" s="18"/>
      <c r="F8" s="18"/>
      <c r="G8" s="18" t="str">
        <f aca="false">IF(COUNT(D8:F8)=3,SUM(D8:F8),"")</f>
        <v/>
      </c>
      <c r="H8" s="9"/>
    </row>
    <row r="9" customFormat="false" ht="15" hidden="false" customHeight="false" outlineLevel="0" collapsed="false">
      <c r="A9" s="18" t="s">
        <v>61</v>
      </c>
      <c r="B9" s="18" t="n">
        <v>1</v>
      </c>
      <c r="C9" s="18" t="s">
        <v>314</v>
      </c>
      <c r="D9" s="18"/>
      <c r="E9" s="18"/>
      <c r="F9" s="18"/>
      <c r="G9" s="18" t="str">
        <f aca="false">IF(COUNT(D9:F9)=3,SUM(D9:F9),"")</f>
        <v/>
      </c>
      <c r="H9" s="9"/>
    </row>
    <row r="10" customFormat="false" ht="15" hidden="false" customHeight="false" outlineLevel="0" collapsed="false">
      <c r="A10" s="18" t="s">
        <v>66</v>
      </c>
      <c r="B10" s="18" t="n">
        <v>1</v>
      </c>
      <c r="C10" s="18" t="s">
        <v>311</v>
      </c>
      <c r="D10" s="18"/>
      <c r="E10" s="18"/>
      <c r="F10" s="18"/>
      <c r="G10" s="18" t="str">
        <f aca="false">IF(COUNT(D10:F10)=3,SUM(D10:F10),"")</f>
        <v/>
      </c>
      <c r="H10" s="9"/>
    </row>
    <row r="11" customFormat="false" ht="15" hidden="false" customHeight="false" outlineLevel="0" collapsed="false">
      <c r="A11" s="18" t="s">
        <v>66</v>
      </c>
      <c r="B11" s="18" t="n">
        <v>1</v>
      </c>
      <c r="C11" s="18" t="s">
        <v>312</v>
      </c>
      <c r="D11" s="18"/>
      <c r="E11" s="18"/>
      <c r="F11" s="18"/>
      <c r="G11" s="18" t="str">
        <f aca="false">IF(COUNT(D11:F11)=3,SUM(D11:F11),"")</f>
        <v/>
      </c>
      <c r="H11" s="9"/>
    </row>
    <row r="12" customFormat="false" ht="15" hidden="false" customHeight="false" outlineLevel="0" collapsed="false">
      <c r="A12" s="18" t="s">
        <v>66</v>
      </c>
      <c r="B12" s="18" t="n">
        <v>1</v>
      </c>
      <c r="C12" s="18" t="s">
        <v>313</v>
      </c>
      <c r="D12" s="18"/>
      <c r="E12" s="18"/>
      <c r="F12" s="18"/>
      <c r="G12" s="18" t="str">
        <f aca="false">IF(COUNT(D12:F12)=3,SUM(D12:F12),"")</f>
        <v/>
      </c>
      <c r="H12" s="9"/>
    </row>
    <row r="13" customFormat="false" ht="15" hidden="false" customHeight="false" outlineLevel="0" collapsed="false">
      <c r="A13" s="18" t="s">
        <v>66</v>
      </c>
      <c r="B13" s="18" t="n">
        <v>1</v>
      </c>
      <c r="C13" s="18" t="s">
        <v>314</v>
      </c>
      <c r="D13" s="18"/>
      <c r="E13" s="18"/>
      <c r="F13" s="18"/>
      <c r="G13" s="18" t="str">
        <f aca="false">IF(COUNT(D13:F13)=3,SUM(D13:F13),"")</f>
        <v/>
      </c>
      <c r="H13" s="9"/>
    </row>
    <row r="14" customFormat="false" ht="15" hidden="false" customHeight="false" outlineLevel="0" collapsed="false">
      <c r="A14" s="18" t="s">
        <v>70</v>
      </c>
      <c r="B14" s="18" t="n">
        <v>1</v>
      </c>
      <c r="C14" s="18" t="s">
        <v>311</v>
      </c>
      <c r="D14" s="18"/>
      <c r="E14" s="18"/>
      <c r="F14" s="18"/>
      <c r="G14" s="18" t="str">
        <f aca="false">IF(COUNT(D14:F14)=3,SUM(D14:F14),"")</f>
        <v/>
      </c>
      <c r="H14" s="9"/>
    </row>
    <row r="15" customFormat="false" ht="15" hidden="false" customHeight="false" outlineLevel="0" collapsed="false">
      <c r="A15" s="18" t="s">
        <v>70</v>
      </c>
      <c r="B15" s="18" t="n">
        <v>1</v>
      </c>
      <c r="C15" s="18" t="s">
        <v>312</v>
      </c>
      <c r="D15" s="18"/>
      <c r="E15" s="18"/>
      <c r="F15" s="18"/>
      <c r="G15" s="18" t="str">
        <f aca="false">IF(COUNT(D15:F15)=3,SUM(D15:F15),"")</f>
        <v/>
      </c>
      <c r="H15" s="9"/>
    </row>
    <row r="16" customFormat="false" ht="15" hidden="false" customHeight="false" outlineLevel="0" collapsed="false">
      <c r="A16" s="18" t="s">
        <v>70</v>
      </c>
      <c r="B16" s="18" t="n">
        <v>1</v>
      </c>
      <c r="C16" s="18" t="s">
        <v>313</v>
      </c>
      <c r="D16" s="18"/>
      <c r="E16" s="18"/>
      <c r="F16" s="18"/>
      <c r="G16" s="18" t="str">
        <f aca="false">IF(COUNT(D16:F16)=3,SUM(D16:F16),"")</f>
        <v/>
      </c>
      <c r="H16" s="9"/>
    </row>
    <row r="17" customFormat="false" ht="15" hidden="false" customHeight="false" outlineLevel="0" collapsed="false">
      <c r="A17" s="18" t="s">
        <v>70</v>
      </c>
      <c r="B17" s="18" t="n">
        <v>1</v>
      </c>
      <c r="C17" s="18" t="s">
        <v>314</v>
      </c>
      <c r="D17" s="18"/>
      <c r="E17" s="18"/>
      <c r="F17" s="18"/>
      <c r="G17" s="18" t="str">
        <f aca="false">IF(COUNT(D17:F17)=3,SUM(D17:F17),"")</f>
        <v/>
      </c>
      <c r="H17" s="9"/>
    </row>
    <row r="18" customFormat="false" ht="15" hidden="false" customHeight="false" outlineLevel="0" collapsed="false">
      <c r="A18" s="18" t="s">
        <v>75</v>
      </c>
      <c r="B18" s="18" t="n">
        <v>1</v>
      </c>
      <c r="C18" s="18" t="s">
        <v>311</v>
      </c>
      <c r="D18" s="18"/>
      <c r="E18" s="18"/>
      <c r="F18" s="18"/>
      <c r="G18" s="18" t="str">
        <f aca="false">IF(COUNT(D18:F18)=3,SUM(D18:F18),"")</f>
        <v/>
      </c>
      <c r="H18" s="9"/>
    </row>
    <row r="19" customFormat="false" ht="15" hidden="false" customHeight="false" outlineLevel="0" collapsed="false">
      <c r="A19" s="18" t="s">
        <v>75</v>
      </c>
      <c r="B19" s="18" t="n">
        <v>1</v>
      </c>
      <c r="C19" s="18" t="s">
        <v>312</v>
      </c>
      <c r="D19" s="18"/>
      <c r="E19" s="18"/>
      <c r="F19" s="18"/>
      <c r="G19" s="18" t="str">
        <f aca="false">IF(COUNT(D19:F19)=3,SUM(D19:F19),"")</f>
        <v/>
      </c>
      <c r="H19" s="9"/>
    </row>
    <row r="20" customFormat="false" ht="15" hidden="false" customHeight="false" outlineLevel="0" collapsed="false">
      <c r="A20" s="18" t="s">
        <v>75</v>
      </c>
      <c r="B20" s="18" t="n">
        <v>1</v>
      </c>
      <c r="C20" s="18" t="s">
        <v>313</v>
      </c>
      <c r="D20" s="18"/>
      <c r="E20" s="18"/>
      <c r="F20" s="18"/>
      <c r="G20" s="18" t="str">
        <f aca="false">IF(COUNT(D20:F20)=3,SUM(D20:F20),"")</f>
        <v/>
      </c>
      <c r="H20" s="9"/>
    </row>
    <row r="21" customFormat="false" ht="15" hidden="false" customHeight="false" outlineLevel="0" collapsed="false">
      <c r="A21" s="18" t="s">
        <v>75</v>
      </c>
      <c r="B21" s="18" t="n">
        <v>1</v>
      </c>
      <c r="C21" s="18" t="s">
        <v>314</v>
      </c>
      <c r="D21" s="18"/>
      <c r="E21" s="18"/>
      <c r="F21" s="18"/>
      <c r="G21" s="18" t="str">
        <f aca="false">IF(COUNT(D21:F21)=3,SUM(D21:F21),"")</f>
        <v/>
      </c>
      <c r="H21" s="9"/>
    </row>
    <row r="22" customFormat="false" ht="15" hidden="false" customHeight="false" outlineLevel="0" collapsed="false">
      <c r="A22" s="18" t="s">
        <v>80</v>
      </c>
      <c r="B22" s="18" t="n">
        <v>1</v>
      </c>
      <c r="C22" s="18" t="s">
        <v>311</v>
      </c>
      <c r="D22" s="18"/>
      <c r="E22" s="18"/>
      <c r="F22" s="18"/>
      <c r="G22" s="18" t="str">
        <f aca="false">IF(COUNT(D22:F22)=3,SUM(D22:F22),"")</f>
        <v/>
      </c>
      <c r="H22" s="9"/>
    </row>
    <row r="23" customFormat="false" ht="15" hidden="false" customHeight="false" outlineLevel="0" collapsed="false">
      <c r="A23" s="18" t="s">
        <v>80</v>
      </c>
      <c r="B23" s="18" t="n">
        <v>1</v>
      </c>
      <c r="C23" s="18" t="s">
        <v>312</v>
      </c>
      <c r="D23" s="18"/>
      <c r="E23" s="18"/>
      <c r="F23" s="18"/>
      <c r="G23" s="18" t="str">
        <f aca="false">IF(COUNT(D23:F23)=3,SUM(D23:F23),"")</f>
        <v/>
      </c>
      <c r="H23" s="9"/>
    </row>
    <row r="24" customFormat="false" ht="15" hidden="false" customHeight="false" outlineLevel="0" collapsed="false">
      <c r="A24" s="18" t="s">
        <v>80</v>
      </c>
      <c r="B24" s="18" t="n">
        <v>1</v>
      </c>
      <c r="C24" s="18" t="s">
        <v>313</v>
      </c>
      <c r="D24" s="18"/>
      <c r="E24" s="18"/>
      <c r="F24" s="18"/>
      <c r="G24" s="18" t="str">
        <f aca="false">IF(COUNT(D24:F24)=3,SUM(D24:F24),"")</f>
        <v/>
      </c>
      <c r="H24" s="9"/>
    </row>
    <row r="25" customFormat="false" ht="15" hidden="false" customHeight="false" outlineLevel="0" collapsed="false">
      <c r="A25" s="18" t="s">
        <v>80</v>
      </c>
      <c r="B25" s="18" t="n">
        <v>1</v>
      </c>
      <c r="C25" s="18" t="s">
        <v>314</v>
      </c>
      <c r="D25" s="18"/>
      <c r="E25" s="18"/>
      <c r="F25" s="18"/>
      <c r="G25" s="18" t="str">
        <f aca="false">IF(COUNT(D25:F25)=3,SUM(D25:F25),"")</f>
        <v/>
      </c>
      <c r="H25" s="9"/>
    </row>
    <row r="26" customFormat="false" ht="15" hidden="false" customHeight="false" outlineLevel="0" collapsed="false">
      <c r="A26" s="18" t="s">
        <v>85</v>
      </c>
      <c r="B26" s="18" t="n">
        <v>1</v>
      </c>
      <c r="C26" s="18" t="s">
        <v>311</v>
      </c>
      <c r="D26" s="18"/>
      <c r="E26" s="18"/>
      <c r="F26" s="18"/>
      <c r="G26" s="18" t="str">
        <f aca="false">IF(COUNT(D26:F26)=3,SUM(D26:F26),"")</f>
        <v/>
      </c>
      <c r="H26" s="9"/>
    </row>
    <row r="27" customFormat="false" ht="15" hidden="false" customHeight="false" outlineLevel="0" collapsed="false">
      <c r="A27" s="18" t="s">
        <v>85</v>
      </c>
      <c r="B27" s="18" t="n">
        <v>1</v>
      </c>
      <c r="C27" s="18" t="s">
        <v>312</v>
      </c>
      <c r="D27" s="18"/>
      <c r="E27" s="18"/>
      <c r="F27" s="18"/>
      <c r="G27" s="18" t="str">
        <f aca="false">IF(COUNT(D27:F27)=3,SUM(D27:F27),"")</f>
        <v/>
      </c>
      <c r="H27" s="9"/>
    </row>
    <row r="28" customFormat="false" ht="15" hidden="false" customHeight="false" outlineLevel="0" collapsed="false">
      <c r="A28" s="18" t="s">
        <v>85</v>
      </c>
      <c r="B28" s="18" t="n">
        <v>1</v>
      </c>
      <c r="C28" s="18" t="s">
        <v>313</v>
      </c>
      <c r="D28" s="18"/>
      <c r="E28" s="18"/>
      <c r="F28" s="18"/>
      <c r="G28" s="18" t="str">
        <f aca="false">IF(COUNT(D28:F28)=3,SUM(D28:F28),"")</f>
        <v/>
      </c>
      <c r="H28" s="9"/>
    </row>
    <row r="29" customFormat="false" ht="15" hidden="false" customHeight="false" outlineLevel="0" collapsed="false">
      <c r="A29" s="18" t="s">
        <v>85</v>
      </c>
      <c r="B29" s="18" t="n">
        <v>1</v>
      </c>
      <c r="C29" s="18" t="s">
        <v>314</v>
      </c>
      <c r="D29" s="18"/>
      <c r="E29" s="18"/>
      <c r="F29" s="18"/>
      <c r="G29" s="18" t="str">
        <f aca="false">IF(COUNT(D29:F29)=3,SUM(D29:F29),"")</f>
        <v/>
      </c>
      <c r="H29" s="9"/>
    </row>
    <row r="30" customFormat="false" ht="15" hidden="false" customHeight="false" outlineLevel="0" collapsed="false">
      <c r="A30" s="18" t="s">
        <v>89</v>
      </c>
      <c r="B30" s="18" t="n">
        <v>1</v>
      </c>
      <c r="C30" s="18" t="s">
        <v>311</v>
      </c>
      <c r="D30" s="18"/>
      <c r="E30" s="18"/>
      <c r="F30" s="18"/>
      <c r="G30" s="18" t="str">
        <f aca="false">IF(COUNT(D30:F30)=3,SUM(D30:F30),"")</f>
        <v/>
      </c>
      <c r="H30" s="9"/>
    </row>
    <row r="31" customFormat="false" ht="15" hidden="false" customHeight="false" outlineLevel="0" collapsed="false">
      <c r="A31" s="18" t="s">
        <v>89</v>
      </c>
      <c r="B31" s="18" t="n">
        <v>1</v>
      </c>
      <c r="C31" s="18" t="s">
        <v>312</v>
      </c>
      <c r="D31" s="18"/>
      <c r="E31" s="18"/>
      <c r="F31" s="18"/>
      <c r="G31" s="18" t="str">
        <f aca="false">IF(COUNT(D31:F31)=3,SUM(D31:F31),"")</f>
        <v/>
      </c>
      <c r="H31" s="9"/>
    </row>
    <row r="32" customFormat="false" ht="15" hidden="false" customHeight="false" outlineLevel="0" collapsed="false">
      <c r="A32" s="18" t="s">
        <v>89</v>
      </c>
      <c r="B32" s="18" t="n">
        <v>1</v>
      </c>
      <c r="C32" s="18" t="s">
        <v>313</v>
      </c>
      <c r="D32" s="18"/>
      <c r="E32" s="18"/>
      <c r="F32" s="18"/>
      <c r="G32" s="18" t="str">
        <f aca="false">IF(COUNT(D32:F32)=3,SUM(D32:F32),"")</f>
        <v/>
      </c>
      <c r="H32" s="9"/>
    </row>
    <row r="33" customFormat="false" ht="15" hidden="false" customHeight="false" outlineLevel="0" collapsed="false">
      <c r="A33" s="18" t="s">
        <v>89</v>
      </c>
      <c r="B33" s="18" t="n">
        <v>1</v>
      </c>
      <c r="C33" s="18" t="s">
        <v>314</v>
      </c>
      <c r="D33" s="18"/>
      <c r="E33" s="18"/>
      <c r="F33" s="18"/>
      <c r="G33" s="18" t="str">
        <f aca="false">IF(COUNT(D33:F33)=3,SUM(D33:F33),"")</f>
        <v/>
      </c>
      <c r="H33" s="9"/>
    </row>
    <row r="34" customFormat="false" ht="15" hidden="false" customHeight="false" outlineLevel="0" collapsed="false">
      <c r="A34" s="18" t="s">
        <v>94</v>
      </c>
      <c r="B34" s="18" t="n">
        <v>1</v>
      </c>
      <c r="C34" s="18" t="s">
        <v>311</v>
      </c>
      <c r="D34" s="18"/>
      <c r="E34" s="18"/>
      <c r="F34" s="18"/>
      <c r="G34" s="18" t="str">
        <f aca="false">IF(COUNT(D34:F34)=3,SUM(D34:F34),"")</f>
        <v/>
      </c>
      <c r="H34" s="9"/>
    </row>
    <row r="35" customFormat="false" ht="15" hidden="false" customHeight="false" outlineLevel="0" collapsed="false">
      <c r="A35" s="18" t="s">
        <v>94</v>
      </c>
      <c r="B35" s="18" t="n">
        <v>1</v>
      </c>
      <c r="C35" s="18" t="s">
        <v>312</v>
      </c>
      <c r="D35" s="18"/>
      <c r="E35" s="18"/>
      <c r="F35" s="18"/>
      <c r="G35" s="18" t="str">
        <f aca="false">IF(COUNT(D35:F35)=3,SUM(D35:F35),"")</f>
        <v/>
      </c>
      <c r="H35" s="9"/>
    </row>
    <row r="36" customFormat="false" ht="15" hidden="false" customHeight="false" outlineLevel="0" collapsed="false">
      <c r="A36" s="18" t="s">
        <v>94</v>
      </c>
      <c r="B36" s="18" t="n">
        <v>1</v>
      </c>
      <c r="C36" s="18" t="s">
        <v>313</v>
      </c>
      <c r="D36" s="18"/>
      <c r="E36" s="18"/>
      <c r="F36" s="18"/>
      <c r="G36" s="18" t="str">
        <f aca="false">IF(COUNT(D36:F36)=3,SUM(D36:F36),"")</f>
        <v/>
      </c>
      <c r="H36" s="9"/>
    </row>
    <row r="37" customFormat="false" ht="15" hidden="false" customHeight="false" outlineLevel="0" collapsed="false">
      <c r="A37" s="18" t="s">
        <v>94</v>
      </c>
      <c r="B37" s="18" t="n">
        <v>1</v>
      </c>
      <c r="C37" s="18" t="s">
        <v>314</v>
      </c>
      <c r="D37" s="18"/>
      <c r="E37" s="18"/>
      <c r="F37" s="18"/>
      <c r="G37" s="18" t="str">
        <f aca="false">IF(COUNT(D37:F37)=3,SUM(D37:F37),"")</f>
        <v/>
      </c>
      <c r="H37" s="9"/>
    </row>
    <row r="38" customFormat="false" ht="15" hidden="false" customHeight="false" outlineLevel="0" collapsed="false">
      <c r="A38" s="18" t="s">
        <v>98</v>
      </c>
      <c r="B38" s="18" t="n">
        <v>1</v>
      </c>
      <c r="C38" s="18" t="s">
        <v>311</v>
      </c>
      <c r="D38" s="18"/>
      <c r="E38" s="18"/>
      <c r="F38" s="18"/>
      <c r="G38" s="18" t="str">
        <f aca="false">IF(COUNT(D38:F38)=3,SUM(D38:F38),"")</f>
        <v/>
      </c>
      <c r="H38" s="9"/>
    </row>
    <row r="39" customFormat="false" ht="15" hidden="false" customHeight="false" outlineLevel="0" collapsed="false">
      <c r="A39" s="18" t="s">
        <v>98</v>
      </c>
      <c r="B39" s="18" t="n">
        <v>1</v>
      </c>
      <c r="C39" s="18" t="s">
        <v>312</v>
      </c>
      <c r="D39" s="18"/>
      <c r="E39" s="18"/>
      <c r="F39" s="18"/>
      <c r="G39" s="18" t="str">
        <f aca="false">IF(COUNT(D39:F39)=3,SUM(D39:F39),"")</f>
        <v/>
      </c>
      <c r="H39" s="9"/>
    </row>
    <row r="40" customFormat="false" ht="15" hidden="false" customHeight="false" outlineLevel="0" collapsed="false">
      <c r="A40" s="18" t="s">
        <v>98</v>
      </c>
      <c r="B40" s="18" t="n">
        <v>1</v>
      </c>
      <c r="C40" s="18" t="s">
        <v>313</v>
      </c>
      <c r="D40" s="18"/>
      <c r="E40" s="18"/>
      <c r="F40" s="18"/>
      <c r="G40" s="18" t="str">
        <f aca="false">IF(COUNT(D40:F40)=3,SUM(D40:F40),"")</f>
        <v/>
      </c>
      <c r="H40" s="9"/>
    </row>
    <row r="41" customFormat="false" ht="15" hidden="false" customHeight="false" outlineLevel="0" collapsed="false">
      <c r="A41" s="18" t="s">
        <v>98</v>
      </c>
      <c r="B41" s="18" t="n">
        <v>1</v>
      </c>
      <c r="C41" s="18" t="s">
        <v>314</v>
      </c>
      <c r="D41" s="18"/>
      <c r="E41" s="18"/>
      <c r="F41" s="18"/>
      <c r="G41" s="18" t="str">
        <f aca="false">IF(COUNT(D41:F41)=3,SUM(D41:F41),"")</f>
        <v/>
      </c>
      <c r="H41" s="9"/>
    </row>
    <row r="42" customFormat="false" ht="15" hidden="false" customHeight="false" outlineLevel="0" collapsed="false">
      <c r="A42" s="18" t="s">
        <v>103</v>
      </c>
      <c r="B42" s="18" t="n">
        <v>2</v>
      </c>
      <c r="C42" s="18" t="s">
        <v>311</v>
      </c>
      <c r="D42" s="18"/>
      <c r="E42" s="18"/>
      <c r="F42" s="18"/>
      <c r="G42" s="18" t="str">
        <f aca="false">IF(COUNT(D42:F42)=3,SUM(D42:F42),"")</f>
        <v/>
      </c>
      <c r="H42" s="9"/>
    </row>
    <row r="43" customFormat="false" ht="15" hidden="false" customHeight="false" outlineLevel="0" collapsed="false">
      <c r="A43" s="18" t="s">
        <v>103</v>
      </c>
      <c r="B43" s="18" t="n">
        <v>2</v>
      </c>
      <c r="C43" s="18" t="s">
        <v>312</v>
      </c>
      <c r="D43" s="18"/>
      <c r="E43" s="18"/>
      <c r="F43" s="18"/>
      <c r="G43" s="18" t="str">
        <f aca="false">IF(COUNT(D43:F43)=3,SUM(D43:F43),"")</f>
        <v/>
      </c>
      <c r="H43" s="9"/>
    </row>
    <row r="44" customFormat="false" ht="15" hidden="false" customHeight="false" outlineLevel="0" collapsed="false">
      <c r="A44" s="18" t="s">
        <v>103</v>
      </c>
      <c r="B44" s="18" t="n">
        <v>2</v>
      </c>
      <c r="C44" s="18" t="s">
        <v>313</v>
      </c>
      <c r="D44" s="18"/>
      <c r="E44" s="18"/>
      <c r="F44" s="18"/>
      <c r="G44" s="18" t="str">
        <f aca="false">IF(COUNT(D44:F44)=3,SUM(D44:F44),"")</f>
        <v/>
      </c>
      <c r="H44" s="9"/>
    </row>
    <row r="45" customFormat="false" ht="15" hidden="false" customHeight="false" outlineLevel="0" collapsed="false">
      <c r="A45" s="18" t="s">
        <v>103</v>
      </c>
      <c r="B45" s="18" t="n">
        <v>2</v>
      </c>
      <c r="C45" s="18" t="s">
        <v>314</v>
      </c>
      <c r="D45" s="18"/>
      <c r="E45" s="18"/>
      <c r="F45" s="18"/>
      <c r="G45" s="18" t="str">
        <f aca="false">IF(COUNT(D45:F45)=3,SUM(D45:F45),"")</f>
        <v/>
      </c>
      <c r="H45" s="9"/>
    </row>
    <row r="46" customFormat="false" ht="15" hidden="false" customHeight="false" outlineLevel="0" collapsed="false">
      <c r="A46" s="18" t="s">
        <v>108</v>
      </c>
      <c r="B46" s="18" t="n">
        <v>2</v>
      </c>
      <c r="C46" s="18" t="s">
        <v>311</v>
      </c>
      <c r="D46" s="18"/>
      <c r="E46" s="18"/>
      <c r="F46" s="18"/>
      <c r="G46" s="18" t="str">
        <f aca="false">IF(COUNT(D46:F46)=3,SUM(D46:F46),"")</f>
        <v/>
      </c>
      <c r="H46" s="9"/>
    </row>
    <row r="47" customFormat="false" ht="15" hidden="false" customHeight="false" outlineLevel="0" collapsed="false">
      <c r="A47" s="18" t="s">
        <v>108</v>
      </c>
      <c r="B47" s="18" t="n">
        <v>2</v>
      </c>
      <c r="C47" s="18" t="s">
        <v>312</v>
      </c>
      <c r="D47" s="18"/>
      <c r="E47" s="18"/>
      <c r="F47" s="18"/>
      <c r="G47" s="18" t="str">
        <f aca="false">IF(COUNT(D47:F47)=3,SUM(D47:F47),"")</f>
        <v/>
      </c>
      <c r="H47" s="9"/>
    </row>
    <row r="48" customFormat="false" ht="15" hidden="false" customHeight="false" outlineLevel="0" collapsed="false">
      <c r="A48" s="18" t="s">
        <v>108</v>
      </c>
      <c r="B48" s="18" t="n">
        <v>2</v>
      </c>
      <c r="C48" s="18" t="s">
        <v>313</v>
      </c>
      <c r="D48" s="18"/>
      <c r="E48" s="18"/>
      <c r="F48" s="18"/>
      <c r="G48" s="18" t="str">
        <f aca="false">IF(COUNT(D48:F48)=3,SUM(D48:F48),"")</f>
        <v/>
      </c>
      <c r="H48" s="9"/>
    </row>
    <row r="49" customFormat="false" ht="15" hidden="false" customHeight="false" outlineLevel="0" collapsed="false">
      <c r="A49" s="18" t="s">
        <v>108</v>
      </c>
      <c r="B49" s="18" t="n">
        <v>2</v>
      </c>
      <c r="C49" s="18" t="s">
        <v>314</v>
      </c>
      <c r="D49" s="18"/>
      <c r="E49" s="18"/>
      <c r="F49" s="18"/>
      <c r="G49" s="18" t="str">
        <f aca="false">IF(COUNT(D49:F49)=3,SUM(D49:F49),"")</f>
        <v/>
      </c>
      <c r="H49" s="9"/>
    </row>
    <row r="50" customFormat="false" ht="15" hidden="false" customHeight="false" outlineLevel="0" collapsed="false">
      <c r="A50" s="18" t="s">
        <v>112</v>
      </c>
      <c r="B50" s="18" t="n">
        <v>2</v>
      </c>
      <c r="C50" s="18" t="s">
        <v>311</v>
      </c>
      <c r="D50" s="18"/>
      <c r="E50" s="18"/>
      <c r="F50" s="18"/>
      <c r="G50" s="18" t="str">
        <f aca="false">IF(COUNT(D50:F50)=3,SUM(D50:F50),"")</f>
        <v/>
      </c>
      <c r="H50" s="9"/>
    </row>
    <row r="51" customFormat="false" ht="15" hidden="false" customHeight="false" outlineLevel="0" collapsed="false">
      <c r="A51" s="18" t="s">
        <v>112</v>
      </c>
      <c r="B51" s="18" t="n">
        <v>2</v>
      </c>
      <c r="C51" s="18" t="s">
        <v>312</v>
      </c>
      <c r="D51" s="18"/>
      <c r="E51" s="18"/>
      <c r="F51" s="18"/>
      <c r="G51" s="18" t="str">
        <f aca="false">IF(COUNT(D51:F51)=3,SUM(D51:F51),"")</f>
        <v/>
      </c>
      <c r="H51" s="9"/>
    </row>
    <row r="52" customFormat="false" ht="15" hidden="false" customHeight="false" outlineLevel="0" collapsed="false">
      <c r="A52" s="18" t="s">
        <v>112</v>
      </c>
      <c r="B52" s="18" t="n">
        <v>2</v>
      </c>
      <c r="C52" s="18" t="s">
        <v>313</v>
      </c>
      <c r="D52" s="18"/>
      <c r="E52" s="18"/>
      <c r="F52" s="18"/>
      <c r="G52" s="18" t="str">
        <f aca="false">IF(COUNT(D52:F52)=3,SUM(D52:F52),"")</f>
        <v/>
      </c>
      <c r="H52" s="9"/>
    </row>
    <row r="53" customFormat="false" ht="15" hidden="false" customHeight="false" outlineLevel="0" collapsed="false">
      <c r="A53" s="18" t="s">
        <v>112</v>
      </c>
      <c r="B53" s="18" t="n">
        <v>2</v>
      </c>
      <c r="C53" s="18" t="s">
        <v>314</v>
      </c>
      <c r="D53" s="18"/>
      <c r="E53" s="18"/>
      <c r="F53" s="18"/>
      <c r="G53" s="18" t="str">
        <f aca="false">IF(COUNT(D53:F53)=3,SUM(D53:F53),"")</f>
        <v/>
      </c>
      <c r="H53" s="9"/>
    </row>
    <row r="54" customFormat="false" ht="15" hidden="false" customHeight="false" outlineLevel="0" collapsed="false">
      <c r="A54" s="18" t="s">
        <v>116</v>
      </c>
      <c r="B54" s="18" t="n">
        <v>2</v>
      </c>
      <c r="C54" s="18" t="s">
        <v>311</v>
      </c>
      <c r="D54" s="18"/>
      <c r="E54" s="18"/>
      <c r="F54" s="18"/>
      <c r="G54" s="18" t="str">
        <f aca="false">IF(COUNT(D54:F54)=3,SUM(D54:F54),"")</f>
        <v/>
      </c>
      <c r="H54" s="9"/>
    </row>
    <row r="55" customFormat="false" ht="15" hidden="false" customHeight="false" outlineLevel="0" collapsed="false">
      <c r="A55" s="18" t="s">
        <v>116</v>
      </c>
      <c r="B55" s="18" t="n">
        <v>2</v>
      </c>
      <c r="C55" s="18" t="s">
        <v>312</v>
      </c>
      <c r="D55" s="18"/>
      <c r="E55" s="18"/>
      <c r="F55" s="18"/>
      <c r="G55" s="18" t="str">
        <f aca="false">IF(COUNT(D55:F55)=3,SUM(D55:F55),"")</f>
        <v/>
      </c>
      <c r="H55" s="9"/>
    </row>
    <row r="56" customFormat="false" ht="15" hidden="false" customHeight="false" outlineLevel="0" collapsed="false">
      <c r="A56" s="18" t="s">
        <v>116</v>
      </c>
      <c r="B56" s="18" t="n">
        <v>2</v>
      </c>
      <c r="C56" s="18" t="s">
        <v>313</v>
      </c>
      <c r="D56" s="18"/>
      <c r="E56" s="18"/>
      <c r="F56" s="18"/>
      <c r="G56" s="18" t="str">
        <f aca="false">IF(COUNT(D56:F56)=3,SUM(D56:F56),"")</f>
        <v/>
      </c>
      <c r="H56" s="9"/>
    </row>
    <row r="57" customFormat="false" ht="15" hidden="false" customHeight="false" outlineLevel="0" collapsed="false">
      <c r="A57" s="18" t="s">
        <v>116</v>
      </c>
      <c r="B57" s="18" t="n">
        <v>2</v>
      </c>
      <c r="C57" s="18" t="s">
        <v>314</v>
      </c>
      <c r="D57" s="18"/>
      <c r="E57" s="18"/>
      <c r="F57" s="18"/>
      <c r="G57" s="18" t="str">
        <f aca="false">IF(COUNT(D57:F57)=3,SUM(D57:F57),"")</f>
        <v/>
      </c>
      <c r="H57" s="9"/>
    </row>
    <row r="58" customFormat="false" ht="15" hidden="false" customHeight="false" outlineLevel="0" collapsed="false">
      <c r="A58" s="18" t="s">
        <v>121</v>
      </c>
      <c r="B58" s="18" t="n">
        <v>2</v>
      </c>
      <c r="C58" s="18" t="s">
        <v>311</v>
      </c>
      <c r="D58" s="18"/>
      <c r="E58" s="18"/>
      <c r="F58" s="18"/>
      <c r="G58" s="18" t="str">
        <f aca="false">IF(COUNT(D58:F58)=3,SUM(D58:F58),"")</f>
        <v/>
      </c>
      <c r="H58" s="9"/>
    </row>
    <row r="59" customFormat="false" ht="15" hidden="false" customHeight="false" outlineLevel="0" collapsed="false">
      <c r="A59" s="18" t="s">
        <v>121</v>
      </c>
      <c r="B59" s="18" t="n">
        <v>2</v>
      </c>
      <c r="C59" s="18" t="s">
        <v>312</v>
      </c>
      <c r="D59" s="18"/>
      <c r="E59" s="18"/>
      <c r="F59" s="18"/>
      <c r="G59" s="18" t="str">
        <f aca="false">IF(COUNT(D59:F59)=3,SUM(D59:F59),"")</f>
        <v/>
      </c>
      <c r="H59" s="9"/>
    </row>
    <row r="60" customFormat="false" ht="15" hidden="false" customHeight="false" outlineLevel="0" collapsed="false">
      <c r="A60" s="18" t="s">
        <v>121</v>
      </c>
      <c r="B60" s="18" t="n">
        <v>2</v>
      </c>
      <c r="C60" s="18" t="s">
        <v>313</v>
      </c>
      <c r="D60" s="18"/>
      <c r="E60" s="18"/>
      <c r="F60" s="18"/>
      <c r="G60" s="18" t="str">
        <f aca="false">IF(COUNT(D60:F60)=3,SUM(D60:F60),"")</f>
        <v/>
      </c>
      <c r="H60" s="9"/>
    </row>
    <row r="61" customFormat="false" ht="15" hidden="false" customHeight="false" outlineLevel="0" collapsed="false">
      <c r="A61" s="18" t="s">
        <v>121</v>
      </c>
      <c r="B61" s="18" t="n">
        <v>2</v>
      </c>
      <c r="C61" s="18" t="s">
        <v>314</v>
      </c>
      <c r="D61" s="18"/>
      <c r="E61" s="18"/>
      <c r="F61" s="18"/>
      <c r="G61" s="18" t="str">
        <f aca="false">IF(COUNT(D61:F61)=3,SUM(D61:F61),"")</f>
        <v/>
      </c>
      <c r="H61" s="9"/>
    </row>
    <row r="62" customFormat="false" ht="15" hidden="false" customHeight="false" outlineLevel="0" collapsed="false">
      <c r="A62" s="18" t="s">
        <v>125</v>
      </c>
      <c r="B62" s="18" t="n">
        <v>2</v>
      </c>
      <c r="C62" s="18" t="s">
        <v>311</v>
      </c>
      <c r="D62" s="18"/>
      <c r="E62" s="18"/>
      <c r="F62" s="18"/>
      <c r="G62" s="18" t="str">
        <f aca="false">IF(COUNT(D62:F62)=3,SUM(D62:F62),"")</f>
        <v/>
      </c>
      <c r="H62" s="9"/>
    </row>
    <row r="63" customFormat="false" ht="15" hidden="false" customHeight="false" outlineLevel="0" collapsed="false">
      <c r="A63" s="18" t="s">
        <v>125</v>
      </c>
      <c r="B63" s="18" t="n">
        <v>2</v>
      </c>
      <c r="C63" s="18" t="s">
        <v>312</v>
      </c>
      <c r="D63" s="18"/>
      <c r="E63" s="18"/>
      <c r="F63" s="18"/>
      <c r="G63" s="18" t="str">
        <f aca="false">IF(COUNT(D63:F63)=3,SUM(D63:F63),"")</f>
        <v/>
      </c>
      <c r="H63" s="9"/>
    </row>
    <row r="64" customFormat="false" ht="15" hidden="false" customHeight="false" outlineLevel="0" collapsed="false">
      <c r="A64" s="18" t="s">
        <v>125</v>
      </c>
      <c r="B64" s="18" t="n">
        <v>2</v>
      </c>
      <c r="C64" s="18" t="s">
        <v>313</v>
      </c>
      <c r="D64" s="18"/>
      <c r="E64" s="18"/>
      <c r="F64" s="18"/>
      <c r="G64" s="18" t="str">
        <f aca="false">IF(COUNT(D64:F64)=3,SUM(D64:F64),"")</f>
        <v/>
      </c>
      <c r="H64" s="9"/>
    </row>
    <row r="65" customFormat="false" ht="15" hidden="false" customHeight="false" outlineLevel="0" collapsed="false">
      <c r="A65" s="18" t="s">
        <v>125</v>
      </c>
      <c r="B65" s="18" t="n">
        <v>2</v>
      </c>
      <c r="C65" s="18" t="s">
        <v>314</v>
      </c>
      <c r="D65" s="18"/>
      <c r="E65" s="18"/>
      <c r="F65" s="18"/>
      <c r="G65" s="18" t="str">
        <f aca="false">IF(COUNT(D65:F65)=3,SUM(D65:F65),"")</f>
        <v/>
      </c>
      <c r="H65" s="9"/>
    </row>
    <row r="66" customFormat="false" ht="15" hidden="false" customHeight="false" outlineLevel="0" collapsed="false">
      <c r="A66" s="18" t="s">
        <v>129</v>
      </c>
      <c r="B66" s="18" t="n">
        <v>2</v>
      </c>
      <c r="C66" s="18" t="s">
        <v>311</v>
      </c>
      <c r="D66" s="18"/>
      <c r="E66" s="18"/>
      <c r="F66" s="18"/>
      <c r="G66" s="18" t="str">
        <f aca="false">IF(COUNT(D66:F66)=3,SUM(D66:F66),"")</f>
        <v/>
      </c>
      <c r="H66" s="9"/>
    </row>
    <row r="67" customFormat="false" ht="15" hidden="false" customHeight="false" outlineLevel="0" collapsed="false">
      <c r="A67" s="18" t="s">
        <v>129</v>
      </c>
      <c r="B67" s="18" t="n">
        <v>2</v>
      </c>
      <c r="C67" s="18" t="s">
        <v>312</v>
      </c>
      <c r="D67" s="18"/>
      <c r="E67" s="18"/>
      <c r="F67" s="18"/>
      <c r="G67" s="18" t="str">
        <f aca="false">IF(COUNT(D67:F67)=3,SUM(D67:F67),"")</f>
        <v/>
      </c>
      <c r="H67" s="9"/>
    </row>
    <row r="68" customFormat="false" ht="15" hidden="false" customHeight="false" outlineLevel="0" collapsed="false">
      <c r="A68" s="18" t="s">
        <v>129</v>
      </c>
      <c r="B68" s="18" t="n">
        <v>2</v>
      </c>
      <c r="C68" s="18" t="s">
        <v>313</v>
      </c>
      <c r="D68" s="18"/>
      <c r="E68" s="18"/>
      <c r="F68" s="18"/>
      <c r="G68" s="18" t="str">
        <f aca="false">IF(COUNT(D68:F68)=3,SUM(D68:F68),"")</f>
        <v/>
      </c>
      <c r="H68" s="9"/>
    </row>
    <row r="69" customFormat="false" ht="15" hidden="false" customHeight="false" outlineLevel="0" collapsed="false">
      <c r="A69" s="18" t="s">
        <v>129</v>
      </c>
      <c r="B69" s="18" t="n">
        <v>2</v>
      </c>
      <c r="C69" s="18" t="s">
        <v>314</v>
      </c>
      <c r="D69" s="18"/>
      <c r="E69" s="18"/>
      <c r="F69" s="18"/>
      <c r="G69" s="18" t="str">
        <f aca="false">IF(COUNT(D69:F69)=3,SUM(D69:F69),"")</f>
        <v/>
      </c>
      <c r="H69" s="9"/>
    </row>
    <row r="70" customFormat="false" ht="15" hidden="false" customHeight="false" outlineLevel="0" collapsed="false">
      <c r="A70" s="18" t="s">
        <v>133</v>
      </c>
      <c r="B70" s="18" t="n">
        <v>2</v>
      </c>
      <c r="C70" s="18" t="s">
        <v>311</v>
      </c>
      <c r="D70" s="18"/>
      <c r="E70" s="18"/>
      <c r="F70" s="18"/>
      <c r="G70" s="18" t="str">
        <f aca="false">IF(COUNT(D70:F70)=3,SUM(D70:F70),"")</f>
        <v/>
      </c>
      <c r="H70" s="9"/>
    </row>
    <row r="71" customFormat="false" ht="15" hidden="false" customHeight="false" outlineLevel="0" collapsed="false">
      <c r="A71" s="18" t="s">
        <v>133</v>
      </c>
      <c r="B71" s="18" t="n">
        <v>2</v>
      </c>
      <c r="C71" s="18" t="s">
        <v>312</v>
      </c>
      <c r="D71" s="18"/>
      <c r="E71" s="18"/>
      <c r="F71" s="18"/>
      <c r="G71" s="18" t="str">
        <f aca="false">IF(COUNT(D71:F71)=3,SUM(D71:F71),"")</f>
        <v/>
      </c>
      <c r="H71" s="9"/>
    </row>
    <row r="72" customFormat="false" ht="15" hidden="false" customHeight="false" outlineLevel="0" collapsed="false">
      <c r="A72" s="18" t="s">
        <v>133</v>
      </c>
      <c r="B72" s="18" t="n">
        <v>2</v>
      </c>
      <c r="C72" s="18" t="s">
        <v>313</v>
      </c>
      <c r="D72" s="18"/>
      <c r="E72" s="18"/>
      <c r="F72" s="18"/>
      <c r="G72" s="18" t="str">
        <f aca="false">IF(COUNT(D72:F72)=3,SUM(D72:F72),"")</f>
        <v/>
      </c>
      <c r="H72" s="9"/>
    </row>
    <row r="73" customFormat="false" ht="15" hidden="false" customHeight="false" outlineLevel="0" collapsed="false">
      <c r="A73" s="18" t="s">
        <v>133</v>
      </c>
      <c r="B73" s="18" t="n">
        <v>2</v>
      </c>
      <c r="C73" s="18" t="s">
        <v>314</v>
      </c>
      <c r="D73" s="18"/>
      <c r="E73" s="18"/>
      <c r="F73" s="18"/>
      <c r="G73" s="18" t="str">
        <f aca="false">IF(COUNT(D73:F73)=3,SUM(D73:F73),"")</f>
        <v/>
      </c>
      <c r="H73" s="9"/>
    </row>
    <row r="74" customFormat="false" ht="15" hidden="false" customHeight="false" outlineLevel="0" collapsed="false">
      <c r="A74" s="18" t="s">
        <v>137</v>
      </c>
      <c r="B74" s="18" t="n">
        <v>2</v>
      </c>
      <c r="C74" s="18" t="s">
        <v>311</v>
      </c>
      <c r="D74" s="18"/>
      <c r="E74" s="18"/>
      <c r="F74" s="18"/>
      <c r="G74" s="18" t="str">
        <f aca="false">IF(COUNT(D74:F74)=3,SUM(D74:F74),"")</f>
        <v/>
      </c>
      <c r="H74" s="9"/>
    </row>
    <row r="75" customFormat="false" ht="15" hidden="false" customHeight="false" outlineLevel="0" collapsed="false">
      <c r="A75" s="18" t="s">
        <v>137</v>
      </c>
      <c r="B75" s="18" t="n">
        <v>2</v>
      </c>
      <c r="C75" s="18" t="s">
        <v>312</v>
      </c>
      <c r="D75" s="18"/>
      <c r="E75" s="18"/>
      <c r="F75" s="18"/>
      <c r="G75" s="18" t="str">
        <f aca="false">IF(COUNT(D75:F75)=3,SUM(D75:F75),"")</f>
        <v/>
      </c>
      <c r="H75" s="9"/>
    </row>
    <row r="76" customFormat="false" ht="15" hidden="false" customHeight="false" outlineLevel="0" collapsed="false">
      <c r="A76" s="18" t="s">
        <v>137</v>
      </c>
      <c r="B76" s="18" t="n">
        <v>2</v>
      </c>
      <c r="C76" s="18" t="s">
        <v>313</v>
      </c>
      <c r="D76" s="18"/>
      <c r="E76" s="18"/>
      <c r="F76" s="18"/>
      <c r="G76" s="18" t="str">
        <f aca="false">IF(COUNT(D76:F76)=3,SUM(D76:F76),"")</f>
        <v/>
      </c>
      <c r="H76" s="9"/>
    </row>
    <row r="77" customFormat="false" ht="15" hidden="false" customHeight="false" outlineLevel="0" collapsed="false">
      <c r="A77" s="18" t="s">
        <v>137</v>
      </c>
      <c r="B77" s="18" t="n">
        <v>2</v>
      </c>
      <c r="C77" s="18" t="s">
        <v>314</v>
      </c>
      <c r="D77" s="18"/>
      <c r="E77" s="18"/>
      <c r="F77" s="18"/>
      <c r="G77" s="18" t="str">
        <f aca="false">IF(COUNT(D77:F77)=3,SUM(D77:F77),"")</f>
        <v/>
      </c>
      <c r="H77" s="9"/>
    </row>
    <row r="78" customFormat="false" ht="15" hidden="false" customHeight="false" outlineLevel="0" collapsed="false">
      <c r="A78" s="18" t="s">
        <v>141</v>
      </c>
      <c r="B78" s="18" t="n">
        <v>2</v>
      </c>
      <c r="C78" s="18" t="s">
        <v>311</v>
      </c>
      <c r="D78" s="18"/>
      <c r="E78" s="18"/>
      <c r="F78" s="18"/>
      <c r="G78" s="18" t="str">
        <f aca="false">IF(COUNT(D78:F78)=3,SUM(D78:F78),"")</f>
        <v/>
      </c>
      <c r="H78" s="9"/>
    </row>
    <row r="79" customFormat="false" ht="15" hidden="false" customHeight="false" outlineLevel="0" collapsed="false">
      <c r="A79" s="18" t="s">
        <v>141</v>
      </c>
      <c r="B79" s="18" t="n">
        <v>2</v>
      </c>
      <c r="C79" s="18" t="s">
        <v>312</v>
      </c>
      <c r="D79" s="18"/>
      <c r="E79" s="18"/>
      <c r="F79" s="18"/>
      <c r="G79" s="18" t="str">
        <f aca="false">IF(COUNT(D79:F79)=3,SUM(D79:F79),"")</f>
        <v/>
      </c>
      <c r="H79" s="9"/>
    </row>
    <row r="80" customFormat="false" ht="15" hidden="false" customHeight="false" outlineLevel="0" collapsed="false">
      <c r="A80" s="18" t="s">
        <v>141</v>
      </c>
      <c r="B80" s="18" t="n">
        <v>2</v>
      </c>
      <c r="C80" s="18" t="s">
        <v>313</v>
      </c>
      <c r="D80" s="18"/>
      <c r="E80" s="18"/>
      <c r="F80" s="18"/>
      <c r="G80" s="18" t="str">
        <f aca="false">IF(COUNT(D80:F80)=3,SUM(D80:F80),"")</f>
        <v/>
      </c>
      <c r="H80" s="9"/>
    </row>
    <row r="81" customFormat="false" ht="15" hidden="false" customHeight="false" outlineLevel="0" collapsed="false">
      <c r="A81" s="18" t="s">
        <v>141</v>
      </c>
      <c r="B81" s="18" t="n">
        <v>2</v>
      </c>
      <c r="C81" s="18" t="s">
        <v>314</v>
      </c>
      <c r="D81" s="18"/>
      <c r="E81" s="18"/>
      <c r="F81" s="18"/>
      <c r="G81" s="18" t="str">
        <f aca="false">IF(COUNT(D81:F81)=3,SUM(D81:F81),"")</f>
        <v/>
      </c>
      <c r="H81" s="9"/>
    </row>
    <row r="82" customFormat="false" ht="15" hidden="false" customHeight="false" outlineLevel="0" collapsed="false">
      <c r="A82" s="18" t="s">
        <v>145</v>
      </c>
      <c r="B82" s="18" t="n">
        <v>3</v>
      </c>
      <c r="C82" s="18" t="s">
        <v>311</v>
      </c>
      <c r="D82" s="18"/>
      <c r="E82" s="18"/>
      <c r="F82" s="18"/>
      <c r="G82" s="18" t="str">
        <f aca="false">IF(COUNT(D82:F82)=3,SUM(D82:F82),"")</f>
        <v/>
      </c>
      <c r="H82" s="9"/>
    </row>
    <row r="83" customFormat="false" ht="15" hidden="false" customHeight="false" outlineLevel="0" collapsed="false">
      <c r="A83" s="18" t="s">
        <v>145</v>
      </c>
      <c r="B83" s="18" t="n">
        <v>3</v>
      </c>
      <c r="C83" s="18" t="s">
        <v>312</v>
      </c>
      <c r="D83" s="18"/>
      <c r="E83" s="18"/>
      <c r="F83" s="18"/>
      <c r="G83" s="18" t="str">
        <f aca="false">IF(COUNT(D83:F83)=3,SUM(D83:F83),"")</f>
        <v/>
      </c>
      <c r="H83" s="9"/>
    </row>
    <row r="84" customFormat="false" ht="15" hidden="false" customHeight="false" outlineLevel="0" collapsed="false">
      <c r="A84" s="18" t="s">
        <v>145</v>
      </c>
      <c r="B84" s="18" t="n">
        <v>3</v>
      </c>
      <c r="C84" s="18" t="s">
        <v>313</v>
      </c>
      <c r="D84" s="18"/>
      <c r="E84" s="18"/>
      <c r="F84" s="18"/>
      <c r="G84" s="18" t="str">
        <f aca="false">IF(COUNT(D84:F84)=3,SUM(D84:F84),"")</f>
        <v/>
      </c>
      <c r="H84" s="9"/>
    </row>
    <row r="85" customFormat="false" ht="15" hidden="false" customHeight="false" outlineLevel="0" collapsed="false">
      <c r="A85" s="18" t="s">
        <v>145</v>
      </c>
      <c r="B85" s="18" t="n">
        <v>3</v>
      </c>
      <c r="C85" s="18" t="s">
        <v>314</v>
      </c>
      <c r="D85" s="18"/>
      <c r="E85" s="18"/>
      <c r="F85" s="18"/>
      <c r="G85" s="18" t="str">
        <f aca="false">IF(COUNT(D85:F85)=3,SUM(D85:F85),"")</f>
        <v/>
      </c>
      <c r="H85" s="9"/>
    </row>
    <row r="86" customFormat="false" ht="15" hidden="false" customHeight="false" outlineLevel="0" collapsed="false">
      <c r="A86" s="18" t="s">
        <v>150</v>
      </c>
      <c r="B86" s="18" t="n">
        <v>3</v>
      </c>
      <c r="C86" s="18" t="s">
        <v>311</v>
      </c>
      <c r="D86" s="18"/>
      <c r="E86" s="18"/>
      <c r="F86" s="18"/>
      <c r="G86" s="18" t="str">
        <f aca="false">IF(COUNT(D86:F86)=3,SUM(D86:F86),"")</f>
        <v/>
      </c>
      <c r="H86" s="9"/>
    </row>
    <row r="87" customFormat="false" ht="15" hidden="false" customHeight="false" outlineLevel="0" collapsed="false">
      <c r="A87" s="18" t="s">
        <v>150</v>
      </c>
      <c r="B87" s="18" t="n">
        <v>3</v>
      </c>
      <c r="C87" s="18" t="s">
        <v>312</v>
      </c>
      <c r="D87" s="18"/>
      <c r="E87" s="18"/>
      <c r="F87" s="18"/>
      <c r="G87" s="18" t="str">
        <f aca="false">IF(COUNT(D87:F87)=3,SUM(D87:F87),"")</f>
        <v/>
      </c>
      <c r="H87" s="9"/>
    </row>
    <row r="88" customFormat="false" ht="15" hidden="false" customHeight="false" outlineLevel="0" collapsed="false">
      <c r="A88" s="18" t="s">
        <v>150</v>
      </c>
      <c r="B88" s="18" t="n">
        <v>3</v>
      </c>
      <c r="C88" s="18" t="s">
        <v>313</v>
      </c>
      <c r="D88" s="18"/>
      <c r="E88" s="18"/>
      <c r="F88" s="18"/>
      <c r="G88" s="18" t="str">
        <f aca="false">IF(COUNT(D88:F88)=3,SUM(D88:F88),"")</f>
        <v/>
      </c>
      <c r="H88" s="9"/>
    </row>
    <row r="89" customFormat="false" ht="15" hidden="false" customHeight="false" outlineLevel="0" collapsed="false">
      <c r="A89" s="18" t="s">
        <v>150</v>
      </c>
      <c r="B89" s="18" t="n">
        <v>3</v>
      </c>
      <c r="C89" s="18" t="s">
        <v>314</v>
      </c>
      <c r="D89" s="18"/>
      <c r="E89" s="18"/>
      <c r="F89" s="18"/>
      <c r="G89" s="18" t="str">
        <f aca="false">IF(COUNT(D89:F89)=3,SUM(D89:F89),"")</f>
        <v/>
      </c>
      <c r="H89" s="9"/>
    </row>
    <row r="90" customFormat="false" ht="15" hidden="false" customHeight="false" outlineLevel="0" collapsed="false">
      <c r="A90" s="18" t="s">
        <v>154</v>
      </c>
      <c r="B90" s="18" t="n">
        <v>3</v>
      </c>
      <c r="C90" s="18" t="s">
        <v>311</v>
      </c>
      <c r="D90" s="18"/>
      <c r="E90" s="18"/>
      <c r="F90" s="18"/>
      <c r="G90" s="18" t="str">
        <f aca="false">IF(COUNT(D90:F90)=3,SUM(D90:F90),"")</f>
        <v/>
      </c>
      <c r="H90" s="9"/>
    </row>
    <row r="91" customFormat="false" ht="15" hidden="false" customHeight="false" outlineLevel="0" collapsed="false">
      <c r="A91" s="18" t="s">
        <v>154</v>
      </c>
      <c r="B91" s="18" t="n">
        <v>3</v>
      </c>
      <c r="C91" s="18" t="s">
        <v>312</v>
      </c>
      <c r="D91" s="18"/>
      <c r="E91" s="18"/>
      <c r="F91" s="18"/>
      <c r="G91" s="18" t="str">
        <f aca="false">IF(COUNT(D91:F91)=3,SUM(D91:F91),"")</f>
        <v/>
      </c>
      <c r="H91" s="9"/>
    </row>
    <row r="92" customFormat="false" ht="15" hidden="false" customHeight="false" outlineLevel="0" collapsed="false">
      <c r="A92" s="18" t="s">
        <v>154</v>
      </c>
      <c r="B92" s="18" t="n">
        <v>3</v>
      </c>
      <c r="C92" s="18" t="s">
        <v>313</v>
      </c>
      <c r="D92" s="18"/>
      <c r="E92" s="18"/>
      <c r="F92" s="18"/>
      <c r="G92" s="18" t="str">
        <f aca="false">IF(COUNT(D92:F92)=3,SUM(D92:F92),"")</f>
        <v/>
      </c>
      <c r="H92" s="9"/>
    </row>
    <row r="93" customFormat="false" ht="15" hidden="false" customHeight="false" outlineLevel="0" collapsed="false">
      <c r="A93" s="18" t="s">
        <v>154</v>
      </c>
      <c r="B93" s="18" t="n">
        <v>3</v>
      </c>
      <c r="C93" s="18" t="s">
        <v>314</v>
      </c>
      <c r="D93" s="18"/>
      <c r="E93" s="18"/>
      <c r="F93" s="18"/>
      <c r="G93" s="18" t="str">
        <f aca="false">IF(COUNT(D93:F93)=3,SUM(D93:F93),"")</f>
        <v/>
      </c>
      <c r="H93" s="9"/>
    </row>
    <row r="94" customFormat="false" ht="15" hidden="false" customHeight="false" outlineLevel="0" collapsed="false">
      <c r="A94" s="18" t="s">
        <v>158</v>
      </c>
      <c r="B94" s="18" t="n">
        <v>3</v>
      </c>
      <c r="C94" s="18" t="s">
        <v>311</v>
      </c>
      <c r="D94" s="18"/>
      <c r="E94" s="18"/>
      <c r="F94" s="18"/>
      <c r="G94" s="18" t="str">
        <f aca="false">IF(COUNT(D94:F94)=3,SUM(D94:F94),"")</f>
        <v/>
      </c>
      <c r="H94" s="9"/>
    </row>
    <row r="95" customFormat="false" ht="15" hidden="false" customHeight="false" outlineLevel="0" collapsed="false">
      <c r="A95" s="18" t="s">
        <v>158</v>
      </c>
      <c r="B95" s="18" t="n">
        <v>3</v>
      </c>
      <c r="C95" s="18" t="s">
        <v>312</v>
      </c>
      <c r="D95" s="18"/>
      <c r="E95" s="18"/>
      <c r="F95" s="18"/>
      <c r="G95" s="18" t="str">
        <f aca="false">IF(COUNT(D95:F95)=3,SUM(D95:F95),"")</f>
        <v/>
      </c>
      <c r="H95" s="9"/>
    </row>
    <row r="96" customFormat="false" ht="15" hidden="false" customHeight="false" outlineLevel="0" collapsed="false">
      <c r="A96" s="18" t="s">
        <v>158</v>
      </c>
      <c r="B96" s="18" t="n">
        <v>3</v>
      </c>
      <c r="C96" s="18" t="s">
        <v>313</v>
      </c>
      <c r="D96" s="18"/>
      <c r="E96" s="18"/>
      <c r="F96" s="18"/>
      <c r="G96" s="18" t="str">
        <f aca="false">IF(COUNT(D96:F96)=3,SUM(D96:F96),"")</f>
        <v/>
      </c>
      <c r="H96" s="9"/>
    </row>
    <row r="97" customFormat="false" ht="15" hidden="false" customHeight="false" outlineLevel="0" collapsed="false">
      <c r="A97" s="18" t="s">
        <v>158</v>
      </c>
      <c r="B97" s="18" t="n">
        <v>3</v>
      </c>
      <c r="C97" s="18" t="s">
        <v>314</v>
      </c>
      <c r="D97" s="18"/>
      <c r="E97" s="18"/>
      <c r="F97" s="18"/>
      <c r="G97" s="18" t="str">
        <f aca="false">IF(COUNT(D97:F97)=3,SUM(D97:F97),"")</f>
        <v/>
      </c>
      <c r="H97" s="9"/>
    </row>
    <row r="98" customFormat="false" ht="15" hidden="false" customHeight="false" outlineLevel="0" collapsed="false">
      <c r="A98" s="18" t="s">
        <v>162</v>
      </c>
      <c r="B98" s="18" t="n">
        <v>3</v>
      </c>
      <c r="C98" s="18" t="s">
        <v>311</v>
      </c>
      <c r="D98" s="18"/>
      <c r="E98" s="18"/>
      <c r="F98" s="18"/>
      <c r="G98" s="18" t="str">
        <f aca="false">IF(COUNT(D98:F98)=3,SUM(D98:F98),"")</f>
        <v/>
      </c>
      <c r="H98" s="9"/>
    </row>
    <row r="99" customFormat="false" ht="15" hidden="false" customHeight="false" outlineLevel="0" collapsed="false">
      <c r="A99" s="18" t="s">
        <v>162</v>
      </c>
      <c r="B99" s="18" t="n">
        <v>3</v>
      </c>
      <c r="C99" s="18" t="s">
        <v>312</v>
      </c>
      <c r="D99" s="18"/>
      <c r="E99" s="18"/>
      <c r="F99" s="18"/>
      <c r="G99" s="18" t="str">
        <f aca="false">IF(COUNT(D99:F99)=3,SUM(D99:F99),"")</f>
        <v/>
      </c>
      <c r="H99" s="9"/>
    </row>
    <row r="100" customFormat="false" ht="15" hidden="false" customHeight="false" outlineLevel="0" collapsed="false">
      <c r="A100" s="18" t="s">
        <v>162</v>
      </c>
      <c r="B100" s="18" t="n">
        <v>3</v>
      </c>
      <c r="C100" s="18" t="s">
        <v>313</v>
      </c>
      <c r="D100" s="18"/>
      <c r="E100" s="18"/>
      <c r="F100" s="18"/>
      <c r="G100" s="18" t="str">
        <f aca="false">IF(COUNT(D100:F100)=3,SUM(D100:F100),"")</f>
        <v/>
      </c>
      <c r="H100" s="9"/>
    </row>
    <row r="101" customFormat="false" ht="15" hidden="false" customHeight="false" outlineLevel="0" collapsed="false">
      <c r="A101" s="18" t="s">
        <v>162</v>
      </c>
      <c r="B101" s="18" t="n">
        <v>3</v>
      </c>
      <c r="C101" s="18" t="s">
        <v>314</v>
      </c>
      <c r="D101" s="18"/>
      <c r="E101" s="18"/>
      <c r="F101" s="18"/>
      <c r="G101" s="18" t="str">
        <f aca="false">IF(COUNT(D101:F101)=3,SUM(D101:F101),"")</f>
        <v/>
      </c>
      <c r="H101" s="9"/>
    </row>
    <row r="102" customFormat="false" ht="15" hidden="false" customHeight="false" outlineLevel="0" collapsed="false">
      <c r="A102" s="18" t="s">
        <v>166</v>
      </c>
      <c r="B102" s="18" t="n">
        <v>3</v>
      </c>
      <c r="C102" s="18" t="s">
        <v>311</v>
      </c>
      <c r="D102" s="18"/>
      <c r="E102" s="18"/>
      <c r="F102" s="18"/>
      <c r="G102" s="18" t="str">
        <f aca="false">IF(COUNT(D102:F102)=3,SUM(D102:F102),"")</f>
        <v/>
      </c>
      <c r="H102" s="9"/>
    </row>
    <row r="103" customFormat="false" ht="15" hidden="false" customHeight="false" outlineLevel="0" collapsed="false">
      <c r="A103" s="18" t="s">
        <v>166</v>
      </c>
      <c r="B103" s="18" t="n">
        <v>3</v>
      </c>
      <c r="C103" s="18" t="s">
        <v>312</v>
      </c>
      <c r="D103" s="18"/>
      <c r="E103" s="18"/>
      <c r="F103" s="18"/>
      <c r="G103" s="18" t="str">
        <f aca="false">IF(COUNT(D103:F103)=3,SUM(D103:F103),"")</f>
        <v/>
      </c>
      <c r="H103" s="9"/>
    </row>
    <row r="104" customFormat="false" ht="15" hidden="false" customHeight="false" outlineLevel="0" collapsed="false">
      <c r="A104" s="18" t="s">
        <v>166</v>
      </c>
      <c r="B104" s="18" t="n">
        <v>3</v>
      </c>
      <c r="C104" s="18" t="s">
        <v>313</v>
      </c>
      <c r="D104" s="18"/>
      <c r="E104" s="18"/>
      <c r="F104" s="18"/>
      <c r="G104" s="18" t="str">
        <f aca="false">IF(COUNT(D104:F104)=3,SUM(D104:F104),"")</f>
        <v/>
      </c>
      <c r="H104" s="9"/>
    </row>
    <row r="105" customFormat="false" ht="15" hidden="false" customHeight="false" outlineLevel="0" collapsed="false">
      <c r="A105" s="18" t="s">
        <v>166</v>
      </c>
      <c r="B105" s="18" t="n">
        <v>3</v>
      </c>
      <c r="C105" s="18" t="s">
        <v>314</v>
      </c>
      <c r="D105" s="18"/>
      <c r="E105" s="18"/>
      <c r="F105" s="18"/>
      <c r="G105" s="18" t="str">
        <f aca="false">IF(COUNT(D105:F105)=3,SUM(D105:F105),"")</f>
        <v/>
      </c>
      <c r="H105" s="9"/>
    </row>
    <row r="106" customFormat="false" ht="15" hidden="false" customHeight="false" outlineLevel="0" collapsed="false">
      <c r="A106" s="18" t="s">
        <v>170</v>
      </c>
      <c r="B106" s="18" t="n">
        <v>3</v>
      </c>
      <c r="C106" s="18" t="s">
        <v>311</v>
      </c>
      <c r="D106" s="18"/>
      <c r="E106" s="18"/>
      <c r="F106" s="18"/>
      <c r="G106" s="18" t="str">
        <f aca="false">IF(COUNT(D106:F106)=3,SUM(D106:F106),"")</f>
        <v/>
      </c>
      <c r="H106" s="9"/>
    </row>
    <row r="107" customFormat="false" ht="15" hidden="false" customHeight="false" outlineLevel="0" collapsed="false">
      <c r="A107" s="18" t="s">
        <v>170</v>
      </c>
      <c r="B107" s="18" t="n">
        <v>3</v>
      </c>
      <c r="C107" s="18" t="s">
        <v>312</v>
      </c>
      <c r="D107" s="18"/>
      <c r="E107" s="18"/>
      <c r="F107" s="18"/>
      <c r="G107" s="18" t="str">
        <f aca="false">IF(COUNT(D107:F107)=3,SUM(D107:F107),"")</f>
        <v/>
      </c>
      <c r="H107" s="9"/>
    </row>
    <row r="108" customFormat="false" ht="15" hidden="false" customHeight="false" outlineLevel="0" collapsed="false">
      <c r="A108" s="18" t="s">
        <v>170</v>
      </c>
      <c r="B108" s="18" t="n">
        <v>3</v>
      </c>
      <c r="C108" s="18" t="s">
        <v>313</v>
      </c>
      <c r="D108" s="18"/>
      <c r="E108" s="18"/>
      <c r="F108" s="18"/>
      <c r="G108" s="18" t="str">
        <f aca="false">IF(COUNT(D108:F108)=3,SUM(D108:F108),"")</f>
        <v/>
      </c>
      <c r="H108" s="9"/>
    </row>
    <row r="109" customFormat="false" ht="15" hidden="false" customHeight="false" outlineLevel="0" collapsed="false">
      <c r="A109" s="18" t="s">
        <v>170</v>
      </c>
      <c r="B109" s="18" t="n">
        <v>3</v>
      </c>
      <c r="C109" s="18" t="s">
        <v>314</v>
      </c>
      <c r="D109" s="18"/>
      <c r="E109" s="18"/>
      <c r="F109" s="18"/>
      <c r="G109" s="18" t="str">
        <f aca="false">IF(COUNT(D109:F109)=3,SUM(D109:F109),"")</f>
        <v/>
      </c>
      <c r="H109" s="9"/>
    </row>
    <row r="110" customFormat="false" ht="15" hidden="false" customHeight="false" outlineLevel="0" collapsed="false">
      <c r="A110" s="18" t="s">
        <v>174</v>
      </c>
      <c r="B110" s="18" t="n">
        <v>3</v>
      </c>
      <c r="C110" s="18" t="s">
        <v>311</v>
      </c>
      <c r="D110" s="18"/>
      <c r="E110" s="18"/>
      <c r="F110" s="18"/>
      <c r="G110" s="18" t="str">
        <f aca="false">IF(COUNT(D110:F110)=3,SUM(D110:F110),"")</f>
        <v/>
      </c>
      <c r="H110" s="9"/>
    </row>
    <row r="111" customFormat="false" ht="15" hidden="false" customHeight="false" outlineLevel="0" collapsed="false">
      <c r="A111" s="18" t="s">
        <v>174</v>
      </c>
      <c r="B111" s="18" t="n">
        <v>3</v>
      </c>
      <c r="C111" s="18" t="s">
        <v>312</v>
      </c>
      <c r="D111" s="18"/>
      <c r="E111" s="18"/>
      <c r="F111" s="18"/>
      <c r="G111" s="18" t="str">
        <f aca="false">IF(COUNT(D111:F111)=3,SUM(D111:F111),"")</f>
        <v/>
      </c>
      <c r="H111" s="9"/>
    </row>
    <row r="112" customFormat="false" ht="15" hidden="false" customHeight="false" outlineLevel="0" collapsed="false">
      <c r="A112" s="18" t="s">
        <v>174</v>
      </c>
      <c r="B112" s="18" t="n">
        <v>3</v>
      </c>
      <c r="C112" s="18" t="s">
        <v>313</v>
      </c>
      <c r="D112" s="18"/>
      <c r="E112" s="18"/>
      <c r="F112" s="18"/>
      <c r="G112" s="18" t="str">
        <f aca="false">IF(COUNT(D112:F112)=3,SUM(D112:F112),"")</f>
        <v/>
      </c>
      <c r="H112" s="9"/>
    </row>
    <row r="113" customFormat="false" ht="15" hidden="false" customHeight="false" outlineLevel="0" collapsed="false">
      <c r="A113" s="18" t="s">
        <v>174</v>
      </c>
      <c r="B113" s="18" t="n">
        <v>3</v>
      </c>
      <c r="C113" s="18" t="s">
        <v>314</v>
      </c>
      <c r="D113" s="18"/>
      <c r="E113" s="18"/>
      <c r="F113" s="18"/>
      <c r="G113" s="18" t="str">
        <f aca="false">IF(COUNT(D113:F113)=3,SUM(D113:F113),"")</f>
        <v/>
      </c>
      <c r="H113" s="9"/>
    </row>
    <row r="114" customFormat="false" ht="15" hidden="false" customHeight="false" outlineLevel="0" collapsed="false">
      <c r="A114" s="18" t="s">
        <v>178</v>
      </c>
      <c r="B114" s="18" t="n">
        <v>3</v>
      </c>
      <c r="C114" s="18" t="s">
        <v>311</v>
      </c>
      <c r="D114" s="18"/>
      <c r="E114" s="18"/>
      <c r="F114" s="18"/>
      <c r="G114" s="18" t="str">
        <f aca="false">IF(COUNT(D114:F114)=3,SUM(D114:F114),"")</f>
        <v/>
      </c>
      <c r="H114" s="9"/>
    </row>
    <row r="115" customFormat="false" ht="15" hidden="false" customHeight="false" outlineLevel="0" collapsed="false">
      <c r="A115" s="18" t="s">
        <v>178</v>
      </c>
      <c r="B115" s="18" t="n">
        <v>3</v>
      </c>
      <c r="C115" s="18" t="s">
        <v>312</v>
      </c>
      <c r="D115" s="18"/>
      <c r="E115" s="18"/>
      <c r="F115" s="18"/>
      <c r="G115" s="18" t="str">
        <f aca="false">IF(COUNT(D115:F115)=3,SUM(D115:F115),"")</f>
        <v/>
      </c>
      <c r="H115" s="9"/>
    </row>
    <row r="116" customFormat="false" ht="15" hidden="false" customHeight="false" outlineLevel="0" collapsed="false">
      <c r="A116" s="18" t="s">
        <v>178</v>
      </c>
      <c r="B116" s="18" t="n">
        <v>3</v>
      </c>
      <c r="C116" s="18" t="s">
        <v>313</v>
      </c>
      <c r="D116" s="18"/>
      <c r="E116" s="18"/>
      <c r="F116" s="18"/>
      <c r="G116" s="18" t="str">
        <f aca="false">IF(COUNT(D116:F116)=3,SUM(D116:F116),"")</f>
        <v/>
      </c>
      <c r="H116" s="9"/>
    </row>
    <row r="117" customFormat="false" ht="15" hidden="false" customHeight="false" outlineLevel="0" collapsed="false">
      <c r="A117" s="18" t="s">
        <v>178</v>
      </c>
      <c r="B117" s="18" t="n">
        <v>3</v>
      </c>
      <c r="C117" s="18" t="s">
        <v>314</v>
      </c>
      <c r="D117" s="18"/>
      <c r="E117" s="18"/>
      <c r="F117" s="18"/>
      <c r="G117" s="18" t="str">
        <f aca="false">IF(COUNT(D117:F117)=3,SUM(D117:F117),"")</f>
        <v/>
      </c>
      <c r="H117" s="9"/>
    </row>
    <row r="118" customFormat="false" ht="15" hidden="false" customHeight="false" outlineLevel="0" collapsed="false">
      <c r="A118" s="18" t="s">
        <v>182</v>
      </c>
      <c r="B118" s="18" t="n">
        <v>3</v>
      </c>
      <c r="C118" s="18" t="s">
        <v>311</v>
      </c>
      <c r="D118" s="18"/>
      <c r="E118" s="18"/>
      <c r="F118" s="18"/>
      <c r="G118" s="18" t="str">
        <f aca="false">IF(COUNT(D118:F118)=3,SUM(D118:F118),"")</f>
        <v/>
      </c>
      <c r="H118" s="9"/>
    </row>
    <row r="119" customFormat="false" ht="15" hidden="false" customHeight="false" outlineLevel="0" collapsed="false">
      <c r="A119" s="18" t="s">
        <v>182</v>
      </c>
      <c r="B119" s="18" t="n">
        <v>3</v>
      </c>
      <c r="C119" s="18" t="s">
        <v>312</v>
      </c>
      <c r="D119" s="18"/>
      <c r="E119" s="18"/>
      <c r="F119" s="18"/>
      <c r="G119" s="18" t="str">
        <f aca="false">IF(COUNT(D119:F119)=3,SUM(D119:F119),"")</f>
        <v/>
      </c>
      <c r="H119" s="9"/>
    </row>
    <row r="120" customFormat="false" ht="15" hidden="false" customHeight="false" outlineLevel="0" collapsed="false">
      <c r="A120" s="18" t="s">
        <v>182</v>
      </c>
      <c r="B120" s="18" t="n">
        <v>3</v>
      </c>
      <c r="C120" s="18" t="s">
        <v>313</v>
      </c>
      <c r="D120" s="18"/>
      <c r="E120" s="18"/>
      <c r="F120" s="18"/>
      <c r="G120" s="18" t="str">
        <f aca="false">IF(COUNT(D120:F120)=3,SUM(D120:F120),"")</f>
        <v/>
      </c>
      <c r="H120" s="9"/>
    </row>
    <row r="121" customFormat="false" ht="15" hidden="false" customHeight="false" outlineLevel="0" collapsed="false">
      <c r="A121" s="18" t="s">
        <v>182</v>
      </c>
      <c r="B121" s="18" t="n">
        <v>3</v>
      </c>
      <c r="C121" s="18" t="s">
        <v>314</v>
      </c>
      <c r="D121" s="18"/>
      <c r="E121" s="18"/>
      <c r="F121" s="18"/>
      <c r="G121" s="18" t="str">
        <f aca="false">IF(COUNT(D121:F121)=3,SUM(D121:F121),"")</f>
        <v/>
      </c>
      <c r="H121" s="9"/>
    </row>
    <row r="122" customFormat="false" ht="15" hidden="false" customHeight="false" outlineLevel="0" collapsed="false">
      <c r="A122" s="18" t="s">
        <v>186</v>
      </c>
      <c r="B122" s="18" t="n">
        <v>4</v>
      </c>
      <c r="C122" s="18" t="s">
        <v>311</v>
      </c>
      <c r="D122" s="18"/>
      <c r="E122" s="18"/>
      <c r="F122" s="18"/>
      <c r="G122" s="18" t="str">
        <f aca="false">IF(COUNT(D122:F122)=3,SUM(D122:F122),"")</f>
        <v/>
      </c>
      <c r="H122" s="9"/>
    </row>
    <row r="123" customFormat="false" ht="15" hidden="false" customHeight="false" outlineLevel="0" collapsed="false">
      <c r="A123" s="18" t="s">
        <v>186</v>
      </c>
      <c r="B123" s="18" t="n">
        <v>4</v>
      </c>
      <c r="C123" s="18" t="s">
        <v>312</v>
      </c>
      <c r="D123" s="18"/>
      <c r="E123" s="18"/>
      <c r="F123" s="18"/>
      <c r="G123" s="18" t="str">
        <f aca="false">IF(COUNT(D123:F123)=3,SUM(D123:F123),"")</f>
        <v/>
      </c>
      <c r="H123" s="9"/>
    </row>
    <row r="124" customFormat="false" ht="15" hidden="false" customHeight="false" outlineLevel="0" collapsed="false">
      <c r="A124" s="18" t="s">
        <v>186</v>
      </c>
      <c r="B124" s="18" t="n">
        <v>4</v>
      </c>
      <c r="C124" s="18" t="s">
        <v>313</v>
      </c>
      <c r="D124" s="18"/>
      <c r="E124" s="18"/>
      <c r="F124" s="18"/>
      <c r="G124" s="18" t="str">
        <f aca="false">IF(COUNT(D124:F124)=3,SUM(D124:F124),"")</f>
        <v/>
      </c>
      <c r="H124" s="9"/>
    </row>
    <row r="125" customFormat="false" ht="15" hidden="false" customHeight="false" outlineLevel="0" collapsed="false">
      <c r="A125" s="18" t="s">
        <v>186</v>
      </c>
      <c r="B125" s="18" t="n">
        <v>4</v>
      </c>
      <c r="C125" s="18" t="s">
        <v>314</v>
      </c>
      <c r="D125" s="18"/>
      <c r="E125" s="18"/>
      <c r="F125" s="18"/>
      <c r="G125" s="18" t="str">
        <f aca="false">IF(COUNT(D125:F125)=3,SUM(D125:F125),"")</f>
        <v/>
      </c>
      <c r="H125" s="9"/>
    </row>
    <row r="126" customFormat="false" ht="15" hidden="false" customHeight="false" outlineLevel="0" collapsed="false">
      <c r="A126" s="18" t="s">
        <v>191</v>
      </c>
      <c r="B126" s="18" t="n">
        <v>4</v>
      </c>
      <c r="C126" s="18" t="s">
        <v>311</v>
      </c>
      <c r="D126" s="18"/>
      <c r="E126" s="18"/>
      <c r="F126" s="18"/>
      <c r="G126" s="18" t="str">
        <f aca="false">IF(COUNT(D126:F126)=3,SUM(D126:F126),"")</f>
        <v/>
      </c>
      <c r="H126" s="9"/>
    </row>
    <row r="127" customFormat="false" ht="15" hidden="false" customHeight="false" outlineLevel="0" collapsed="false">
      <c r="A127" s="18" t="s">
        <v>191</v>
      </c>
      <c r="B127" s="18" t="n">
        <v>4</v>
      </c>
      <c r="C127" s="18" t="s">
        <v>312</v>
      </c>
      <c r="D127" s="18"/>
      <c r="E127" s="18"/>
      <c r="F127" s="18"/>
      <c r="G127" s="18" t="str">
        <f aca="false">IF(COUNT(D127:F127)=3,SUM(D127:F127),"")</f>
        <v/>
      </c>
      <c r="H127" s="9"/>
    </row>
    <row r="128" customFormat="false" ht="15" hidden="false" customHeight="false" outlineLevel="0" collapsed="false">
      <c r="A128" s="18" t="s">
        <v>191</v>
      </c>
      <c r="B128" s="18" t="n">
        <v>4</v>
      </c>
      <c r="C128" s="18" t="s">
        <v>313</v>
      </c>
      <c r="D128" s="18"/>
      <c r="E128" s="18"/>
      <c r="F128" s="18"/>
      <c r="G128" s="18" t="str">
        <f aca="false">IF(COUNT(D128:F128)=3,SUM(D128:F128),"")</f>
        <v/>
      </c>
      <c r="H128" s="9"/>
    </row>
    <row r="129" customFormat="false" ht="15" hidden="false" customHeight="false" outlineLevel="0" collapsed="false">
      <c r="A129" s="18" t="s">
        <v>191</v>
      </c>
      <c r="B129" s="18" t="n">
        <v>4</v>
      </c>
      <c r="C129" s="18" t="s">
        <v>314</v>
      </c>
      <c r="D129" s="18"/>
      <c r="E129" s="18"/>
      <c r="F129" s="18"/>
      <c r="G129" s="18" t="str">
        <f aca="false">IF(COUNT(D129:F129)=3,SUM(D129:F129),"")</f>
        <v/>
      </c>
      <c r="H129" s="9"/>
    </row>
    <row r="130" customFormat="false" ht="15" hidden="false" customHeight="false" outlineLevel="0" collapsed="false">
      <c r="A130" s="18" t="s">
        <v>195</v>
      </c>
      <c r="B130" s="18" t="n">
        <v>4</v>
      </c>
      <c r="C130" s="18" t="s">
        <v>311</v>
      </c>
      <c r="D130" s="18"/>
      <c r="E130" s="18"/>
      <c r="F130" s="18"/>
      <c r="G130" s="18" t="str">
        <f aca="false">IF(COUNT(D130:F130)=3,SUM(D130:F130),"")</f>
        <v/>
      </c>
      <c r="H130" s="9"/>
    </row>
    <row r="131" customFormat="false" ht="15" hidden="false" customHeight="false" outlineLevel="0" collapsed="false">
      <c r="A131" s="18" t="s">
        <v>195</v>
      </c>
      <c r="B131" s="18" t="n">
        <v>4</v>
      </c>
      <c r="C131" s="18" t="s">
        <v>312</v>
      </c>
      <c r="D131" s="18"/>
      <c r="E131" s="18"/>
      <c r="F131" s="18"/>
      <c r="G131" s="18" t="str">
        <f aca="false">IF(COUNT(D131:F131)=3,SUM(D131:F131),"")</f>
        <v/>
      </c>
      <c r="H131" s="9"/>
    </row>
    <row r="132" customFormat="false" ht="15" hidden="false" customHeight="false" outlineLevel="0" collapsed="false">
      <c r="A132" s="18" t="s">
        <v>195</v>
      </c>
      <c r="B132" s="18" t="n">
        <v>4</v>
      </c>
      <c r="C132" s="18" t="s">
        <v>313</v>
      </c>
      <c r="D132" s="18"/>
      <c r="E132" s="18"/>
      <c r="F132" s="18"/>
      <c r="G132" s="18" t="str">
        <f aca="false">IF(COUNT(D132:F132)=3,SUM(D132:F132),"")</f>
        <v/>
      </c>
      <c r="H132" s="9"/>
    </row>
    <row r="133" customFormat="false" ht="15" hidden="false" customHeight="false" outlineLevel="0" collapsed="false">
      <c r="A133" s="18" t="s">
        <v>195</v>
      </c>
      <c r="B133" s="18" t="n">
        <v>4</v>
      </c>
      <c r="C133" s="18" t="s">
        <v>314</v>
      </c>
      <c r="D133" s="18"/>
      <c r="E133" s="18"/>
      <c r="F133" s="18"/>
      <c r="G133" s="18" t="str">
        <f aca="false">IF(COUNT(D133:F133)=3,SUM(D133:F133),"")</f>
        <v/>
      </c>
      <c r="H133" s="9"/>
    </row>
    <row r="134" customFormat="false" ht="15" hidden="false" customHeight="false" outlineLevel="0" collapsed="false">
      <c r="A134" s="18" t="s">
        <v>199</v>
      </c>
      <c r="B134" s="18" t="n">
        <v>4</v>
      </c>
      <c r="C134" s="18" t="s">
        <v>311</v>
      </c>
      <c r="D134" s="18"/>
      <c r="E134" s="18"/>
      <c r="F134" s="18"/>
      <c r="G134" s="18" t="str">
        <f aca="false">IF(COUNT(D134:F134)=3,SUM(D134:F134),"")</f>
        <v/>
      </c>
      <c r="H134" s="9"/>
    </row>
    <row r="135" customFormat="false" ht="15" hidden="false" customHeight="false" outlineLevel="0" collapsed="false">
      <c r="A135" s="18" t="s">
        <v>199</v>
      </c>
      <c r="B135" s="18" t="n">
        <v>4</v>
      </c>
      <c r="C135" s="18" t="s">
        <v>312</v>
      </c>
      <c r="D135" s="18"/>
      <c r="E135" s="18"/>
      <c r="F135" s="18"/>
      <c r="G135" s="18" t="str">
        <f aca="false">IF(COUNT(D135:F135)=3,SUM(D135:F135),"")</f>
        <v/>
      </c>
      <c r="H135" s="9"/>
    </row>
    <row r="136" customFormat="false" ht="15" hidden="false" customHeight="false" outlineLevel="0" collapsed="false">
      <c r="A136" s="18" t="s">
        <v>199</v>
      </c>
      <c r="B136" s="18" t="n">
        <v>4</v>
      </c>
      <c r="C136" s="18" t="s">
        <v>313</v>
      </c>
      <c r="D136" s="18"/>
      <c r="E136" s="18"/>
      <c r="F136" s="18"/>
      <c r="G136" s="18" t="str">
        <f aca="false">IF(COUNT(D136:F136)=3,SUM(D136:F136),"")</f>
        <v/>
      </c>
      <c r="H136" s="9"/>
    </row>
    <row r="137" customFormat="false" ht="15" hidden="false" customHeight="false" outlineLevel="0" collapsed="false">
      <c r="A137" s="18" t="s">
        <v>199</v>
      </c>
      <c r="B137" s="18" t="n">
        <v>4</v>
      </c>
      <c r="C137" s="18" t="s">
        <v>314</v>
      </c>
      <c r="D137" s="18"/>
      <c r="E137" s="18"/>
      <c r="F137" s="18"/>
      <c r="G137" s="18" t="str">
        <f aca="false">IF(COUNT(D137:F137)=3,SUM(D137:F137),"")</f>
        <v/>
      </c>
      <c r="H137" s="9"/>
    </row>
    <row r="138" customFormat="false" ht="15" hidden="false" customHeight="false" outlineLevel="0" collapsed="false">
      <c r="A138" s="18" t="s">
        <v>202</v>
      </c>
      <c r="B138" s="18" t="n">
        <v>4</v>
      </c>
      <c r="C138" s="18" t="s">
        <v>311</v>
      </c>
      <c r="D138" s="18"/>
      <c r="E138" s="18"/>
      <c r="F138" s="18"/>
      <c r="G138" s="18" t="str">
        <f aca="false">IF(COUNT(D138:F138)=3,SUM(D138:F138),"")</f>
        <v/>
      </c>
      <c r="H138" s="9"/>
    </row>
    <row r="139" customFormat="false" ht="15" hidden="false" customHeight="false" outlineLevel="0" collapsed="false">
      <c r="A139" s="18" t="s">
        <v>202</v>
      </c>
      <c r="B139" s="18" t="n">
        <v>4</v>
      </c>
      <c r="C139" s="18" t="s">
        <v>312</v>
      </c>
      <c r="D139" s="18"/>
      <c r="E139" s="18"/>
      <c r="F139" s="18"/>
      <c r="G139" s="18" t="str">
        <f aca="false">IF(COUNT(D139:F139)=3,SUM(D139:F139),"")</f>
        <v/>
      </c>
      <c r="H139" s="9"/>
    </row>
    <row r="140" customFormat="false" ht="15" hidden="false" customHeight="false" outlineLevel="0" collapsed="false">
      <c r="A140" s="18" t="s">
        <v>202</v>
      </c>
      <c r="B140" s="18" t="n">
        <v>4</v>
      </c>
      <c r="C140" s="18" t="s">
        <v>313</v>
      </c>
      <c r="D140" s="18"/>
      <c r="E140" s="18"/>
      <c r="F140" s="18"/>
      <c r="G140" s="18" t="str">
        <f aca="false">IF(COUNT(D140:F140)=3,SUM(D140:F140),"")</f>
        <v/>
      </c>
      <c r="H140" s="9"/>
    </row>
    <row r="141" customFormat="false" ht="15" hidden="false" customHeight="false" outlineLevel="0" collapsed="false">
      <c r="A141" s="18" t="s">
        <v>202</v>
      </c>
      <c r="B141" s="18" t="n">
        <v>4</v>
      </c>
      <c r="C141" s="18" t="s">
        <v>314</v>
      </c>
      <c r="D141" s="18"/>
      <c r="E141" s="18"/>
      <c r="F141" s="18"/>
      <c r="G141" s="18" t="str">
        <f aca="false">IF(COUNT(D141:F141)=3,SUM(D141:F141),"")</f>
        <v/>
      </c>
      <c r="H141" s="9"/>
    </row>
    <row r="142" customFormat="false" ht="15" hidden="false" customHeight="false" outlineLevel="0" collapsed="false">
      <c r="A142" s="18" t="s">
        <v>206</v>
      </c>
      <c r="B142" s="18" t="n">
        <v>4</v>
      </c>
      <c r="C142" s="18" t="s">
        <v>311</v>
      </c>
      <c r="D142" s="18"/>
      <c r="E142" s="18"/>
      <c r="F142" s="18"/>
      <c r="G142" s="18" t="str">
        <f aca="false">IF(COUNT(D142:F142)=3,SUM(D142:F142),"")</f>
        <v/>
      </c>
      <c r="H142" s="9"/>
    </row>
    <row r="143" customFormat="false" ht="15" hidden="false" customHeight="false" outlineLevel="0" collapsed="false">
      <c r="A143" s="18" t="s">
        <v>206</v>
      </c>
      <c r="B143" s="18" t="n">
        <v>4</v>
      </c>
      <c r="C143" s="18" t="s">
        <v>312</v>
      </c>
      <c r="D143" s="18"/>
      <c r="E143" s="18"/>
      <c r="F143" s="18"/>
      <c r="G143" s="18" t="str">
        <f aca="false">IF(COUNT(D143:F143)=3,SUM(D143:F143),"")</f>
        <v/>
      </c>
      <c r="H143" s="9"/>
    </row>
    <row r="144" customFormat="false" ht="15" hidden="false" customHeight="false" outlineLevel="0" collapsed="false">
      <c r="A144" s="18" t="s">
        <v>206</v>
      </c>
      <c r="B144" s="18" t="n">
        <v>4</v>
      </c>
      <c r="C144" s="18" t="s">
        <v>313</v>
      </c>
      <c r="D144" s="18"/>
      <c r="E144" s="18"/>
      <c r="F144" s="18"/>
      <c r="G144" s="18" t="str">
        <f aca="false">IF(COUNT(D144:F144)=3,SUM(D144:F144),"")</f>
        <v/>
      </c>
      <c r="H144" s="9"/>
    </row>
    <row r="145" customFormat="false" ht="15" hidden="false" customHeight="false" outlineLevel="0" collapsed="false">
      <c r="A145" s="18" t="s">
        <v>206</v>
      </c>
      <c r="B145" s="18" t="n">
        <v>4</v>
      </c>
      <c r="C145" s="18" t="s">
        <v>314</v>
      </c>
      <c r="D145" s="18"/>
      <c r="E145" s="18"/>
      <c r="F145" s="18"/>
      <c r="G145" s="18" t="str">
        <f aca="false">IF(COUNT(D145:F145)=3,SUM(D145:F145),"")</f>
        <v/>
      </c>
      <c r="H145" s="9"/>
    </row>
    <row r="146" customFormat="false" ht="15" hidden="false" customHeight="false" outlineLevel="0" collapsed="false">
      <c r="A146" s="18" t="s">
        <v>210</v>
      </c>
      <c r="B146" s="18" t="n">
        <v>4</v>
      </c>
      <c r="C146" s="18" t="s">
        <v>311</v>
      </c>
      <c r="D146" s="18"/>
      <c r="E146" s="18"/>
      <c r="F146" s="18"/>
      <c r="G146" s="18" t="str">
        <f aca="false">IF(COUNT(D146:F146)=3,SUM(D146:F146),"")</f>
        <v/>
      </c>
      <c r="H146" s="9"/>
    </row>
    <row r="147" customFormat="false" ht="15" hidden="false" customHeight="false" outlineLevel="0" collapsed="false">
      <c r="A147" s="18" t="s">
        <v>210</v>
      </c>
      <c r="B147" s="18" t="n">
        <v>4</v>
      </c>
      <c r="C147" s="18" t="s">
        <v>312</v>
      </c>
      <c r="D147" s="18"/>
      <c r="E147" s="18"/>
      <c r="F147" s="18"/>
      <c r="G147" s="18" t="str">
        <f aca="false">IF(COUNT(D147:F147)=3,SUM(D147:F147),"")</f>
        <v/>
      </c>
      <c r="H147" s="9"/>
    </row>
    <row r="148" customFormat="false" ht="15" hidden="false" customHeight="false" outlineLevel="0" collapsed="false">
      <c r="A148" s="18" t="s">
        <v>210</v>
      </c>
      <c r="B148" s="18" t="n">
        <v>4</v>
      </c>
      <c r="C148" s="18" t="s">
        <v>313</v>
      </c>
      <c r="D148" s="18"/>
      <c r="E148" s="18"/>
      <c r="F148" s="18"/>
      <c r="G148" s="18" t="str">
        <f aca="false">IF(COUNT(D148:F148)=3,SUM(D148:F148),"")</f>
        <v/>
      </c>
      <c r="H148" s="9"/>
    </row>
    <row r="149" customFormat="false" ht="15" hidden="false" customHeight="false" outlineLevel="0" collapsed="false">
      <c r="A149" s="18" t="s">
        <v>210</v>
      </c>
      <c r="B149" s="18" t="n">
        <v>4</v>
      </c>
      <c r="C149" s="18" t="s">
        <v>314</v>
      </c>
      <c r="D149" s="18"/>
      <c r="E149" s="18"/>
      <c r="F149" s="18"/>
      <c r="G149" s="18" t="str">
        <f aca="false">IF(COUNT(D149:F149)=3,SUM(D149:F149),"")</f>
        <v/>
      </c>
      <c r="H149" s="9"/>
    </row>
    <row r="150" customFormat="false" ht="15" hidden="false" customHeight="false" outlineLevel="0" collapsed="false">
      <c r="A150" s="18" t="s">
        <v>214</v>
      </c>
      <c r="B150" s="18" t="n">
        <v>4</v>
      </c>
      <c r="C150" s="18" t="s">
        <v>311</v>
      </c>
      <c r="D150" s="18"/>
      <c r="E150" s="18"/>
      <c r="F150" s="18"/>
      <c r="G150" s="18" t="str">
        <f aca="false">IF(COUNT(D150:F150)=3,SUM(D150:F150),"")</f>
        <v/>
      </c>
      <c r="H150" s="9"/>
    </row>
    <row r="151" customFormat="false" ht="15" hidden="false" customHeight="false" outlineLevel="0" collapsed="false">
      <c r="A151" s="18" t="s">
        <v>214</v>
      </c>
      <c r="B151" s="18" t="n">
        <v>4</v>
      </c>
      <c r="C151" s="18" t="s">
        <v>312</v>
      </c>
      <c r="D151" s="18"/>
      <c r="E151" s="18"/>
      <c r="F151" s="18"/>
      <c r="G151" s="18" t="str">
        <f aca="false">IF(COUNT(D151:F151)=3,SUM(D151:F151),"")</f>
        <v/>
      </c>
      <c r="H151" s="9"/>
    </row>
    <row r="152" customFormat="false" ht="15" hidden="false" customHeight="false" outlineLevel="0" collapsed="false">
      <c r="A152" s="18" t="s">
        <v>214</v>
      </c>
      <c r="B152" s="18" t="n">
        <v>4</v>
      </c>
      <c r="C152" s="18" t="s">
        <v>313</v>
      </c>
      <c r="D152" s="18"/>
      <c r="E152" s="18"/>
      <c r="F152" s="18"/>
      <c r="G152" s="18" t="str">
        <f aca="false">IF(COUNT(D152:F152)=3,SUM(D152:F152),"")</f>
        <v/>
      </c>
      <c r="H152" s="9"/>
    </row>
    <row r="153" customFormat="false" ht="15" hidden="false" customHeight="false" outlineLevel="0" collapsed="false">
      <c r="A153" s="18" t="s">
        <v>214</v>
      </c>
      <c r="B153" s="18" t="n">
        <v>4</v>
      </c>
      <c r="C153" s="18" t="s">
        <v>314</v>
      </c>
      <c r="D153" s="18"/>
      <c r="E153" s="18"/>
      <c r="F153" s="18"/>
      <c r="G153" s="18" t="str">
        <f aca="false">IF(COUNT(D153:F153)=3,SUM(D153:F153),"")</f>
        <v/>
      </c>
      <c r="H153" s="9"/>
    </row>
    <row r="154" customFormat="false" ht="15" hidden="false" customHeight="false" outlineLevel="0" collapsed="false">
      <c r="A154" s="18" t="s">
        <v>217</v>
      </c>
      <c r="B154" s="18" t="n">
        <v>4</v>
      </c>
      <c r="C154" s="18" t="s">
        <v>311</v>
      </c>
      <c r="D154" s="18"/>
      <c r="E154" s="18"/>
      <c r="F154" s="18"/>
      <c r="G154" s="18" t="str">
        <f aca="false">IF(COUNT(D154:F154)=3,SUM(D154:F154),"")</f>
        <v/>
      </c>
      <c r="H154" s="9"/>
    </row>
    <row r="155" customFormat="false" ht="15" hidden="false" customHeight="false" outlineLevel="0" collapsed="false">
      <c r="A155" s="18" t="s">
        <v>217</v>
      </c>
      <c r="B155" s="18" t="n">
        <v>4</v>
      </c>
      <c r="C155" s="18" t="s">
        <v>312</v>
      </c>
      <c r="D155" s="18"/>
      <c r="E155" s="18"/>
      <c r="F155" s="18"/>
      <c r="G155" s="18" t="str">
        <f aca="false">IF(COUNT(D155:F155)=3,SUM(D155:F155),"")</f>
        <v/>
      </c>
      <c r="H155" s="9"/>
    </row>
    <row r="156" customFormat="false" ht="15" hidden="false" customHeight="false" outlineLevel="0" collapsed="false">
      <c r="A156" s="18" t="s">
        <v>217</v>
      </c>
      <c r="B156" s="18" t="n">
        <v>4</v>
      </c>
      <c r="C156" s="18" t="s">
        <v>313</v>
      </c>
      <c r="D156" s="18"/>
      <c r="E156" s="18"/>
      <c r="F156" s="18"/>
      <c r="G156" s="18" t="str">
        <f aca="false">IF(COUNT(D156:F156)=3,SUM(D156:F156),"")</f>
        <v/>
      </c>
      <c r="H156" s="9"/>
    </row>
    <row r="157" customFormat="false" ht="15" hidden="false" customHeight="false" outlineLevel="0" collapsed="false">
      <c r="A157" s="18" t="s">
        <v>217</v>
      </c>
      <c r="B157" s="18" t="n">
        <v>4</v>
      </c>
      <c r="C157" s="18" t="s">
        <v>314</v>
      </c>
      <c r="D157" s="18"/>
      <c r="E157" s="18"/>
      <c r="F157" s="18"/>
      <c r="G157" s="18" t="str">
        <f aca="false">IF(COUNT(D157:F157)=3,SUM(D157:F157),"")</f>
        <v/>
      </c>
      <c r="H157" s="9"/>
    </row>
    <row r="158" customFormat="false" ht="15" hidden="false" customHeight="false" outlineLevel="0" collapsed="false">
      <c r="A158" s="18" t="s">
        <v>221</v>
      </c>
      <c r="B158" s="18" t="n">
        <v>4</v>
      </c>
      <c r="C158" s="18" t="s">
        <v>311</v>
      </c>
      <c r="D158" s="18"/>
      <c r="E158" s="18"/>
      <c r="F158" s="18"/>
      <c r="G158" s="18" t="str">
        <f aca="false">IF(COUNT(D158:F158)=3,SUM(D158:F158),"")</f>
        <v/>
      </c>
      <c r="H158" s="9"/>
    </row>
    <row r="159" customFormat="false" ht="15" hidden="false" customHeight="false" outlineLevel="0" collapsed="false">
      <c r="A159" s="18" t="s">
        <v>221</v>
      </c>
      <c r="B159" s="18" t="n">
        <v>4</v>
      </c>
      <c r="C159" s="18" t="s">
        <v>312</v>
      </c>
      <c r="D159" s="18"/>
      <c r="E159" s="18"/>
      <c r="F159" s="18"/>
      <c r="G159" s="18" t="str">
        <f aca="false">IF(COUNT(D159:F159)=3,SUM(D159:F159),"")</f>
        <v/>
      </c>
      <c r="H159" s="9"/>
    </row>
    <row r="160" customFormat="false" ht="15" hidden="false" customHeight="false" outlineLevel="0" collapsed="false">
      <c r="A160" s="18" t="s">
        <v>221</v>
      </c>
      <c r="B160" s="18" t="n">
        <v>4</v>
      </c>
      <c r="C160" s="18" t="s">
        <v>313</v>
      </c>
      <c r="D160" s="18"/>
      <c r="E160" s="18"/>
      <c r="F160" s="18"/>
      <c r="G160" s="18" t="str">
        <f aca="false">IF(COUNT(D160:F160)=3,SUM(D160:F160),"")</f>
        <v/>
      </c>
      <c r="H160" s="9"/>
    </row>
    <row r="161" customFormat="false" ht="15" hidden="false" customHeight="false" outlineLevel="0" collapsed="false">
      <c r="A161" s="18" t="s">
        <v>221</v>
      </c>
      <c r="B161" s="18" t="n">
        <v>4</v>
      </c>
      <c r="C161" s="18" t="s">
        <v>314</v>
      </c>
      <c r="D161" s="18"/>
      <c r="E161" s="18"/>
      <c r="F161" s="18"/>
      <c r="G161" s="18" t="str">
        <f aca="false">IF(COUNT(D161:F161)=3,SUM(D161:F161),"")</f>
        <v/>
      </c>
      <c r="H161" s="9"/>
    </row>
    <row r="162" customFormat="false" ht="15" hidden="false" customHeight="false" outlineLevel="0" collapsed="false">
      <c r="A162" s="18" t="s">
        <v>225</v>
      </c>
      <c r="B162" s="18" t="n">
        <v>5</v>
      </c>
      <c r="C162" s="18" t="s">
        <v>311</v>
      </c>
      <c r="D162" s="18"/>
      <c r="E162" s="18"/>
      <c r="F162" s="18"/>
      <c r="G162" s="18" t="str">
        <f aca="false">IF(COUNT(D162:F162)=3,SUM(D162:F162),"")</f>
        <v/>
      </c>
      <c r="H162" s="9"/>
    </row>
    <row r="163" customFormat="false" ht="15" hidden="false" customHeight="false" outlineLevel="0" collapsed="false">
      <c r="A163" s="18" t="s">
        <v>225</v>
      </c>
      <c r="B163" s="18" t="n">
        <v>5</v>
      </c>
      <c r="C163" s="18" t="s">
        <v>312</v>
      </c>
      <c r="D163" s="18"/>
      <c r="E163" s="18"/>
      <c r="F163" s="18"/>
      <c r="G163" s="18" t="str">
        <f aca="false">IF(COUNT(D163:F163)=3,SUM(D163:F163),"")</f>
        <v/>
      </c>
      <c r="H163" s="9"/>
    </row>
    <row r="164" customFormat="false" ht="15" hidden="false" customHeight="false" outlineLevel="0" collapsed="false">
      <c r="A164" s="18" t="s">
        <v>225</v>
      </c>
      <c r="B164" s="18" t="n">
        <v>5</v>
      </c>
      <c r="C164" s="18" t="s">
        <v>313</v>
      </c>
      <c r="D164" s="18"/>
      <c r="E164" s="18"/>
      <c r="F164" s="18"/>
      <c r="G164" s="18" t="str">
        <f aca="false">IF(COUNT(D164:F164)=3,SUM(D164:F164),"")</f>
        <v/>
      </c>
      <c r="H164" s="9"/>
    </row>
    <row r="165" customFormat="false" ht="15" hidden="false" customHeight="false" outlineLevel="0" collapsed="false">
      <c r="A165" s="18" t="s">
        <v>225</v>
      </c>
      <c r="B165" s="18" t="n">
        <v>5</v>
      </c>
      <c r="C165" s="18" t="s">
        <v>314</v>
      </c>
      <c r="D165" s="18"/>
      <c r="E165" s="18"/>
      <c r="F165" s="18"/>
      <c r="G165" s="18" t="str">
        <f aca="false">IF(COUNT(D165:F165)=3,SUM(D165:F165),"")</f>
        <v/>
      </c>
      <c r="H165" s="9"/>
    </row>
    <row r="166" customFormat="false" ht="15" hidden="false" customHeight="false" outlineLevel="0" collapsed="false">
      <c r="A166" s="18" t="s">
        <v>230</v>
      </c>
      <c r="B166" s="18" t="n">
        <v>5</v>
      </c>
      <c r="C166" s="18" t="s">
        <v>311</v>
      </c>
      <c r="D166" s="18"/>
      <c r="E166" s="18"/>
      <c r="F166" s="18"/>
      <c r="G166" s="18" t="str">
        <f aca="false">IF(COUNT(D166:F166)=3,SUM(D166:F166),"")</f>
        <v/>
      </c>
      <c r="H166" s="9"/>
    </row>
    <row r="167" customFormat="false" ht="15" hidden="false" customHeight="false" outlineLevel="0" collapsed="false">
      <c r="A167" s="18" t="s">
        <v>230</v>
      </c>
      <c r="B167" s="18" t="n">
        <v>5</v>
      </c>
      <c r="C167" s="18" t="s">
        <v>312</v>
      </c>
      <c r="D167" s="18"/>
      <c r="E167" s="18"/>
      <c r="F167" s="18"/>
      <c r="G167" s="18" t="str">
        <f aca="false">IF(COUNT(D167:F167)=3,SUM(D167:F167),"")</f>
        <v/>
      </c>
      <c r="H167" s="9"/>
    </row>
    <row r="168" customFormat="false" ht="15" hidden="false" customHeight="false" outlineLevel="0" collapsed="false">
      <c r="A168" s="18" t="s">
        <v>230</v>
      </c>
      <c r="B168" s="18" t="n">
        <v>5</v>
      </c>
      <c r="C168" s="18" t="s">
        <v>313</v>
      </c>
      <c r="D168" s="18"/>
      <c r="E168" s="18"/>
      <c r="F168" s="18"/>
      <c r="G168" s="18" t="str">
        <f aca="false">IF(COUNT(D168:F168)=3,SUM(D168:F168),"")</f>
        <v/>
      </c>
      <c r="H168" s="9"/>
    </row>
    <row r="169" customFormat="false" ht="15" hidden="false" customHeight="false" outlineLevel="0" collapsed="false">
      <c r="A169" s="18" t="s">
        <v>230</v>
      </c>
      <c r="B169" s="18" t="n">
        <v>5</v>
      </c>
      <c r="C169" s="18" t="s">
        <v>314</v>
      </c>
      <c r="D169" s="18"/>
      <c r="E169" s="18"/>
      <c r="F169" s="18"/>
      <c r="G169" s="18" t="str">
        <f aca="false">IF(COUNT(D169:F169)=3,SUM(D169:F169),"")</f>
        <v/>
      </c>
      <c r="H169" s="9"/>
    </row>
    <row r="170" customFormat="false" ht="15" hidden="false" customHeight="false" outlineLevel="0" collapsed="false">
      <c r="A170" s="18" t="s">
        <v>234</v>
      </c>
      <c r="B170" s="18" t="n">
        <v>5</v>
      </c>
      <c r="C170" s="18" t="s">
        <v>311</v>
      </c>
      <c r="D170" s="18"/>
      <c r="E170" s="18"/>
      <c r="F170" s="18"/>
      <c r="G170" s="18" t="str">
        <f aca="false">IF(COUNT(D170:F170)=3,SUM(D170:F170),"")</f>
        <v/>
      </c>
      <c r="H170" s="9"/>
    </row>
    <row r="171" customFormat="false" ht="15" hidden="false" customHeight="false" outlineLevel="0" collapsed="false">
      <c r="A171" s="18" t="s">
        <v>234</v>
      </c>
      <c r="B171" s="18" t="n">
        <v>5</v>
      </c>
      <c r="C171" s="18" t="s">
        <v>312</v>
      </c>
      <c r="D171" s="18"/>
      <c r="E171" s="18"/>
      <c r="F171" s="18"/>
      <c r="G171" s="18" t="str">
        <f aca="false">IF(COUNT(D171:F171)=3,SUM(D171:F171),"")</f>
        <v/>
      </c>
      <c r="H171" s="9"/>
    </row>
    <row r="172" customFormat="false" ht="15" hidden="false" customHeight="false" outlineLevel="0" collapsed="false">
      <c r="A172" s="18" t="s">
        <v>234</v>
      </c>
      <c r="B172" s="18" t="n">
        <v>5</v>
      </c>
      <c r="C172" s="18" t="s">
        <v>313</v>
      </c>
      <c r="D172" s="18"/>
      <c r="E172" s="18"/>
      <c r="F172" s="18"/>
      <c r="G172" s="18" t="str">
        <f aca="false">IF(COUNT(D172:F172)=3,SUM(D172:F172),"")</f>
        <v/>
      </c>
      <c r="H172" s="9"/>
    </row>
    <row r="173" customFormat="false" ht="15" hidden="false" customHeight="false" outlineLevel="0" collapsed="false">
      <c r="A173" s="18" t="s">
        <v>234</v>
      </c>
      <c r="B173" s="18" t="n">
        <v>5</v>
      </c>
      <c r="C173" s="18" t="s">
        <v>314</v>
      </c>
      <c r="D173" s="18"/>
      <c r="E173" s="18"/>
      <c r="F173" s="18"/>
      <c r="G173" s="18" t="str">
        <f aca="false">IF(COUNT(D173:F173)=3,SUM(D173:F173),"")</f>
        <v/>
      </c>
      <c r="H173" s="9"/>
    </row>
    <row r="174" customFormat="false" ht="15" hidden="false" customHeight="false" outlineLevel="0" collapsed="false">
      <c r="A174" s="18" t="s">
        <v>238</v>
      </c>
      <c r="B174" s="18" t="n">
        <v>5</v>
      </c>
      <c r="C174" s="18" t="s">
        <v>311</v>
      </c>
      <c r="D174" s="18"/>
      <c r="E174" s="18"/>
      <c r="F174" s="18"/>
      <c r="G174" s="18" t="str">
        <f aca="false">IF(COUNT(D174:F174)=3,SUM(D174:F174),"")</f>
        <v/>
      </c>
      <c r="H174" s="9"/>
    </row>
    <row r="175" customFormat="false" ht="15" hidden="false" customHeight="false" outlineLevel="0" collapsed="false">
      <c r="A175" s="18" t="s">
        <v>238</v>
      </c>
      <c r="B175" s="18" t="n">
        <v>5</v>
      </c>
      <c r="C175" s="18" t="s">
        <v>312</v>
      </c>
      <c r="D175" s="18"/>
      <c r="E175" s="18"/>
      <c r="F175" s="18"/>
      <c r="G175" s="18" t="str">
        <f aca="false">IF(COUNT(D175:F175)=3,SUM(D175:F175),"")</f>
        <v/>
      </c>
      <c r="H175" s="9"/>
    </row>
    <row r="176" customFormat="false" ht="15" hidden="false" customHeight="false" outlineLevel="0" collapsed="false">
      <c r="A176" s="18" t="s">
        <v>238</v>
      </c>
      <c r="B176" s="18" t="n">
        <v>5</v>
      </c>
      <c r="C176" s="18" t="s">
        <v>313</v>
      </c>
      <c r="D176" s="18"/>
      <c r="E176" s="18"/>
      <c r="F176" s="18"/>
      <c r="G176" s="18" t="str">
        <f aca="false">IF(COUNT(D176:F176)=3,SUM(D176:F176),"")</f>
        <v/>
      </c>
      <c r="H176" s="9"/>
    </row>
    <row r="177" customFormat="false" ht="15" hidden="false" customHeight="false" outlineLevel="0" collapsed="false">
      <c r="A177" s="18" t="s">
        <v>238</v>
      </c>
      <c r="B177" s="18" t="n">
        <v>5</v>
      </c>
      <c r="C177" s="18" t="s">
        <v>314</v>
      </c>
      <c r="D177" s="18"/>
      <c r="E177" s="18"/>
      <c r="F177" s="18"/>
      <c r="G177" s="18" t="str">
        <f aca="false">IF(COUNT(D177:F177)=3,SUM(D177:F177),"")</f>
        <v/>
      </c>
      <c r="H177" s="9"/>
    </row>
    <row r="178" customFormat="false" ht="15" hidden="false" customHeight="false" outlineLevel="0" collapsed="false">
      <c r="A178" s="18" t="s">
        <v>242</v>
      </c>
      <c r="B178" s="18" t="n">
        <v>5</v>
      </c>
      <c r="C178" s="18" t="s">
        <v>311</v>
      </c>
      <c r="D178" s="18"/>
      <c r="E178" s="18"/>
      <c r="F178" s="18"/>
      <c r="G178" s="18" t="str">
        <f aca="false">IF(COUNT(D178:F178)=3,SUM(D178:F178),"")</f>
        <v/>
      </c>
      <c r="H178" s="9"/>
    </row>
    <row r="179" customFormat="false" ht="15" hidden="false" customHeight="false" outlineLevel="0" collapsed="false">
      <c r="A179" s="18" t="s">
        <v>242</v>
      </c>
      <c r="B179" s="18" t="n">
        <v>5</v>
      </c>
      <c r="C179" s="18" t="s">
        <v>312</v>
      </c>
      <c r="D179" s="18"/>
      <c r="E179" s="18"/>
      <c r="F179" s="18"/>
      <c r="G179" s="18" t="str">
        <f aca="false">IF(COUNT(D179:F179)=3,SUM(D179:F179),"")</f>
        <v/>
      </c>
      <c r="H179" s="9"/>
    </row>
    <row r="180" customFormat="false" ht="15" hidden="false" customHeight="false" outlineLevel="0" collapsed="false">
      <c r="A180" s="18" t="s">
        <v>242</v>
      </c>
      <c r="B180" s="18" t="n">
        <v>5</v>
      </c>
      <c r="C180" s="18" t="s">
        <v>313</v>
      </c>
      <c r="D180" s="18"/>
      <c r="E180" s="18"/>
      <c r="F180" s="18"/>
      <c r="G180" s="18" t="str">
        <f aca="false">IF(COUNT(D180:F180)=3,SUM(D180:F180),"")</f>
        <v/>
      </c>
      <c r="H180" s="9"/>
    </row>
    <row r="181" customFormat="false" ht="15" hidden="false" customHeight="false" outlineLevel="0" collapsed="false">
      <c r="A181" s="18" t="s">
        <v>242</v>
      </c>
      <c r="B181" s="18" t="n">
        <v>5</v>
      </c>
      <c r="C181" s="18" t="s">
        <v>314</v>
      </c>
      <c r="D181" s="18"/>
      <c r="E181" s="18"/>
      <c r="F181" s="18"/>
      <c r="G181" s="18" t="str">
        <f aca="false">IF(COUNT(D181:F181)=3,SUM(D181:F181),"")</f>
        <v/>
      </c>
      <c r="H181" s="9"/>
    </row>
    <row r="182" customFormat="false" ht="15" hidden="false" customHeight="false" outlineLevel="0" collapsed="false">
      <c r="A182" s="18" t="s">
        <v>246</v>
      </c>
      <c r="B182" s="18" t="n">
        <v>5</v>
      </c>
      <c r="C182" s="18" t="s">
        <v>311</v>
      </c>
      <c r="D182" s="18"/>
      <c r="E182" s="18"/>
      <c r="F182" s="18"/>
      <c r="G182" s="18" t="str">
        <f aca="false">IF(COUNT(D182:F182)=3,SUM(D182:F182),"")</f>
        <v/>
      </c>
      <c r="H182" s="9"/>
    </row>
    <row r="183" customFormat="false" ht="15" hidden="false" customHeight="false" outlineLevel="0" collapsed="false">
      <c r="A183" s="18" t="s">
        <v>246</v>
      </c>
      <c r="B183" s="18" t="n">
        <v>5</v>
      </c>
      <c r="C183" s="18" t="s">
        <v>312</v>
      </c>
      <c r="D183" s="18"/>
      <c r="E183" s="18"/>
      <c r="F183" s="18"/>
      <c r="G183" s="18" t="str">
        <f aca="false">IF(COUNT(D183:F183)=3,SUM(D183:F183),"")</f>
        <v/>
      </c>
      <c r="H183" s="9"/>
    </row>
    <row r="184" customFormat="false" ht="15" hidden="false" customHeight="false" outlineLevel="0" collapsed="false">
      <c r="A184" s="18" t="s">
        <v>246</v>
      </c>
      <c r="B184" s="18" t="n">
        <v>5</v>
      </c>
      <c r="C184" s="18" t="s">
        <v>313</v>
      </c>
      <c r="D184" s="18"/>
      <c r="E184" s="18"/>
      <c r="F184" s="18"/>
      <c r="G184" s="18" t="str">
        <f aca="false">IF(COUNT(D184:F184)=3,SUM(D184:F184),"")</f>
        <v/>
      </c>
      <c r="H184" s="9"/>
    </row>
    <row r="185" customFormat="false" ht="15" hidden="false" customHeight="false" outlineLevel="0" collapsed="false">
      <c r="A185" s="18" t="s">
        <v>246</v>
      </c>
      <c r="B185" s="18" t="n">
        <v>5</v>
      </c>
      <c r="C185" s="18" t="s">
        <v>314</v>
      </c>
      <c r="D185" s="18"/>
      <c r="E185" s="18"/>
      <c r="F185" s="18"/>
      <c r="G185" s="18" t="str">
        <f aca="false">IF(COUNT(D185:F185)=3,SUM(D185:F185),"")</f>
        <v/>
      </c>
      <c r="H185" s="9"/>
    </row>
    <row r="186" customFormat="false" ht="15" hidden="false" customHeight="false" outlineLevel="0" collapsed="false">
      <c r="A186" s="18" t="s">
        <v>250</v>
      </c>
      <c r="B186" s="18" t="n">
        <v>5</v>
      </c>
      <c r="C186" s="18" t="s">
        <v>311</v>
      </c>
      <c r="D186" s="18"/>
      <c r="E186" s="18"/>
      <c r="F186" s="18"/>
      <c r="G186" s="18" t="str">
        <f aca="false">IF(COUNT(D186:F186)=3,SUM(D186:F186),"")</f>
        <v/>
      </c>
      <c r="H186" s="9"/>
    </row>
    <row r="187" customFormat="false" ht="15" hidden="false" customHeight="false" outlineLevel="0" collapsed="false">
      <c r="A187" s="18" t="s">
        <v>250</v>
      </c>
      <c r="B187" s="18" t="n">
        <v>5</v>
      </c>
      <c r="C187" s="18" t="s">
        <v>312</v>
      </c>
      <c r="D187" s="18"/>
      <c r="E187" s="18"/>
      <c r="F187" s="18"/>
      <c r="G187" s="18" t="str">
        <f aca="false">IF(COUNT(D187:F187)=3,SUM(D187:F187),"")</f>
        <v/>
      </c>
      <c r="H187" s="9"/>
    </row>
    <row r="188" customFormat="false" ht="15" hidden="false" customHeight="false" outlineLevel="0" collapsed="false">
      <c r="A188" s="18" t="s">
        <v>250</v>
      </c>
      <c r="B188" s="18" t="n">
        <v>5</v>
      </c>
      <c r="C188" s="18" t="s">
        <v>313</v>
      </c>
      <c r="D188" s="18"/>
      <c r="E188" s="18"/>
      <c r="F188" s="18"/>
      <c r="G188" s="18" t="str">
        <f aca="false">IF(COUNT(D188:F188)=3,SUM(D188:F188),"")</f>
        <v/>
      </c>
      <c r="H188" s="9"/>
    </row>
    <row r="189" customFormat="false" ht="15" hidden="false" customHeight="false" outlineLevel="0" collapsed="false">
      <c r="A189" s="18" t="s">
        <v>250</v>
      </c>
      <c r="B189" s="18" t="n">
        <v>5</v>
      </c>
      <c r="C189" s="18" t="s">
        <v>314</v>
      </c>
      <c r="D189" s="18"/>
      <c r="E189" s="18"/>
      <c r="F189" s="18"/>
      <c r="G189" s="18" t="str">
        <f aca="false">IF(COUNT(D189:F189)=3,SUM(D189:F189),"")</f>
        <v/>
      </c>
      <c r="H189" s="9"/>
    </row>
    <row r="190" customFormat="false" ht="15" hidden="false" customHeight="false" outlineLevel="0" collapsed="false">
      <c r="A190" s="18" t="s">
        <v>255</v>
      </c>
      <c r="B190" s="18" t="n">
        <v>5</v>
      </c>
      <c r="C190" s="18" t="s">
        <v>311</v>
      </c>
      <c r="D190" s="18"/>
      <c r="E190" s="18"/>
      <c r="F190" s="18"/>
      <c r="G190" s="18" t="str">
        <f aca="false">IF(COUNT(D190:F190)=3,SUM(D190:F190),"")</f>
        <v/>
      </c>
      <c r="H190" s="9"/>
    </row>
    <row r="191" customFormat="false" ht="15" hidden="false" customHeight="false" outlineLevel="0" collapsed="false">
      <c r="A191" s="18" t="s">
        <v>255</v>
      </c>
      <c r="B191" s="18" t="n">
        <v>5</v>
      </c>
      <c r="C191" s="18" t="s">
        <v>312</v>
      </c>
      <c r="D191" s="18"/>
      <c r="E191" s="18"/>
      <c r="F191" s="18"/>
      <c r="G191" s="18" t="str">
        <f aca="false">IF(COUNT(D191:F191)=3,SUM(D191:F191),"")</f>
        <v/>
      </c>
      <c r="H191" s="9"/>
    </row>
    <row r="192" customFormat="false" ht="15" hidden="false" customHeight="false" outlineLevel="0" collapsed="false">
      <c r="A192" s="18" t="s">
        <v>255</v>
      </c>
      <c r="B192" s="18" t="n">
        <v>5</v>
      </c>
      <c r="C192" s="18" t="s">
        <v>313</v>
      </c>
      <c r="D192" s="18"/>
      <c r="E192" s="18"/>
      <c r="F192" s="18"/>
      <c r="G192" s="18" t="str">
        <f aca="false">IF(COUNT(D192:F192)=3,SUM(D192:F192),"")</f>
        <v/>
      </c>
      <c r="H192" s="9"/>
    </row>
    <row r="193" customFormat="false" ht="15" hidden="false" customHeight="false" outlineLevel="0" collapsed="false">
      <c r="A193" s="18" t="s">
        <v>255</v>
      </c>
      <c r="B193" s="18" t="n">
        <v>5</v>
      </c>
      <c r="C193" s="18" t="s">
        <v>314</v>
      </c>
      <c r="D193" s="18"/>
      <c r="E193" s="18"/>
      <c r="F193" s="18"/>
      <c r="G193" s="18" t="str">
        <f aca="false">IF(COUNT(D193:F193)=3,SUM(D193:F193),"")</f>
        <v/>
      </c>
      <c r="H193" s="9"/>
    </row>
    <row r="194" customFormat="false" ht="15" hidden="false" customHeight="false" outlineLevel="0" collapsed="false">
      <c r="A194" s="18" t="s">
        <v>259</v>
      </c>
      <c r="B194" s="18" t="n">
        <v>5</v>
      </c>
      <c r="C194" s="18" t="s">
        <v>311</v>
      </c>
      <c r="D194" s="18"/>
      <c r="E194" s="18"/>
      <c r="F194" s="18"/>
      <c r="G194" s="18" t="str">
        <f aca="false">IF(COUNT(D194:F194)=3,SUM(D194:F194),"")</f>
        <v/>
      </c>
      <c r="H194" s="9"/>
    </row>
    <row r="195" customFormat="false" ht="15" hidden="false" customHeight="false" outlineLevel="0" collapsed="false">
      <c r="A195" s="18" t="s">
        <v>259</v>
      </c>
      <c r="B195" s="18" t="n">
        <v>5</v>
      </c>
      <c r="C195" s="18" t="s">
        <v>312</v>
      </c>
      <c r="D195" s="18"/>
      <c r="E195" s="18"/>
      <c r="F195" s="18"/>
      <c r="G195" s="18" t="str">
        <f aca="false">IF(COUNT(D195:F195)=3,SUM(D195:F195),"")</f>
        <v/>
      </c>
      <c r="H195" s="9"/>
    </row>
    <row r="196" customFormat="false" ht="15" hidden="false" customHeight="false" outlineLevel="0" collapsed="false">
      <c r="A196" s="18" t="s">
        <v>259</v>
      </c>
      <c r="B196" s="18" t="n">
        <v>5</v>
      </c>
      <c r="C196" s="18" t="s">
        <v>313</v>
      </c>
      <c r="D196" s="18"/>
      <c r="E196" s="18"/>
      <c r="F196" s="18"/>
      <c r="G196" s="18" t="str">
        <f aca="false">IF(COUNT(D196:F196)=3,SUM(D196:F196),"")</f>
        <v/>
      </c>
      <c r="H196" s="9"/>
    </row>
    <row r="197" customFormat="false" ht="15" hidden="false" customHeight="false" outlineLevel="0" collapsed="false">
      <c r="A197" s="18" t="s">
        <v>259</v>
      </c>
      <c r="B197" s="18" t="n">
        <v>5</v>
      </c>
      <c r="C197" s="18" t="s">
        <v>314</v>
      </c>
      <c r="D197" s="18"/>
      <c r="E197" s="18"/>
      <c r="F197" s="18"/>
      <c r="G197" s="18" t="str">
        <f aca="false">IF(COUNT(D197:F197)=3,SUM(D197:F197),"")</f>
        <v/>
      </c>
      <c r="H197" s="9"/>
    </row>
    <row r="198" customFormat="false" ht="15" hidden="false" customHeight="false" outlineLevel="0" collapsed="false">
      <c r="A198" s="18" t="s">
        <v>263</v>
      </c>
      <c r="B198" s="18" t="n">
        <v>5</v>
      </c>
      <c r="C198" s="18" t="s">
        <v>311</v>
      </c>
      <c r="D198" s="18"/>
      <c r="E198" s="18"/>
      <c r="F198" s="18"/>
      <c r="G198" s="18" t="str">
        <f aca="false">IF(COUNT(D198:F198)=3,SUM(D198:F198),"")</f>
        <v/>
      </c>
      <c r="H198" s="9"/>
    </row>
    <row r="199" customFormat="false" ht="15" hidden="false" customHeight="false" outlineLevel="0" collapsed="false">
      <c r="A199" s="18" t="s">
        <v>263</v>
      </c>
      <c r="B199" s="18" t="n">
        <v>5</v>
      </c>
      <c r="C199" s="18" t="s">
        <v>312</v>
      </c>
      <c r="D199" s="18"/>
      <c r="E199" s="18"/>
      <c r="F199" s="18"/>
      <c r="G199" s="18" t="str">
        <f aca="false">IF(COUNT(D199:F199)=3,SUM(D199:F199),"")</f>
        <v/>
      </c>
      <c r="H199" s="9"/>
    </row>
    <row r="200" customFormat="false" ht="15" hidden="false" customHeight="false" outlineLevel="0" collapsed="false">
      <c r="A200" s="18" t="s">
        <v>263</v>
      </c>
      <c r="B200" s="18" t="n">
        <v>5</v>
      </c>
      <c r="C200" s="18" t="s">
        <v>313</v>
      </c>
      <c r="D200" s="18"/>
      <c r="E200" s="18"/>
      <c r="F200" s="18"/>
      <c r="G200" s="18" t="str">
        <f aca="false">IF(COUNT(D200:F200)=3,SUM(D200:F200),"")</f>
        <v/>
      </c>
      <c r="H200" s="9"/>
    </row>
    <row r="201" customFormat="false" ht="15" hidden="false" customHeight="false" outlineLevel="0" collapsed="false">
      <c r="A201" s="18" t="s">
        <v>263</v>
      </c>
      <c r="B201" s="18" t="n">
        <v>5</v>
      </c>
      <c r="C201" s="18" t="s">
        <v>314</v>
      </c>
      <c r="D201" s="18"/>
      <c r="E201" s="18"/>
      <c r="F201" s="18"/>
      <c r="G201" s="18" t="str">
        <f aca="false">IF(COUNT(D201:F201)=3,SUM(D201:F201),"")</f>
        <v/>
      </c>
      <c r="H201"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6"/>
    <col collapsed="false" customWidth="true" hidden="false" outlineLevel="0" max="3" min="3" style="0" width="24"/>
    <col collapsed="false" customWidth="true" hidden="false" outlineLevel="0" max="7" min="4" style="0" width="11"/>
    <col collapsed="false" customWidth="true" hidden="false" outlineLevel="0" max="8" min="8" style="0" width="10"/>
    <col collapsed="false" customWidth="true" hidden="false" outlineLevel="0" max="9" min="9" style="0" width="19"/>
    <col collapsed="false" customWidth="true" hidden="false" outlineLevel="0" max="10" min="10" style="0" width="12"/>
  </cols>
  <sheetData>
    <row r="1" customFormat="false" ht="30" hidden="false" customHeight="true" outlineLevel="0" collapsed="false">
      <c r="A1" s="6" t="s">
        <v>46</v>
      </c>
      <c r="B1" s="6" t="s">
        <v>47</v>
      </c>
      <c r="C1" s="6" t="s">
        <v>308</v>
      </c>
      <c r="D1" s="6" t="s">
        <v>320</v>
      </c>
      <c r="E1" s="6" t="s">
        <v>321</v>
      </c>
      <c r="F1" s="6" t="s">
        <v>322</v>
      </c>
      <c r="G1" s="6" t="s">
        <v>323</v>
      </c>
      <c r="H1" s="6" t="s">
        <v>324</v>
      </c>
      <c r="I1" s="6" t="s">
        <v>325</v>
      </c>
      <c r="J1" s="6" t="s">
        <v>326</v>
      </c>
    </row>
    <row r="2" customFormat="false" ht="15" hidden="false" customHeight="false" outlineLevel="0" collapsed="false">
      <c r="A2" s="18" t="s">
        <v>54</v>
      </c>
      <c r="B2" s="18" t="n">
        <v>1</v>
      </c>
      <c r="C2" s="18" t="s">
        <v>311</v>
      </c>
      <c r="D2" s="18" t="str">
        <f aca="false">4_Scorer_A!G2</f>
        <v/>
      </c>
      <c r="E2" s="18" t="str">
        <f aca="false">4_Scorer_B!G2</f>
        <v/>
      </c>
      <c r="F2" s="18" t="str">
        <f aca="false">4_Scorer_C!G2</f>
        <v/>
      </c>
      <c r="G2" s="18" t="str">
        <f aca="false">IF(COUNT(D2:F2)=3,AVERAGE(D2:F2),"")</f>
        <v/>
      </c>
      <c r="H2" s="18" t="str">
        <f aca="false">IF(COUNT(D2:F2)=3,MAX(D2:F2)-MIN(D2:F2),"")</f>
        <v/>
      </c>
      <c r="I2" s="18" t="str">
        <f aca="false">IF(H2="","",IF(H2&gt;1,"RECONCILE","OK"))</f>
        <v/>
      </c>
      <c r="J2" s="18" t="str">
        <f aca="false">IF(G2="","",G2)</f>
        <v/>
      </c>
    </row>
    <row r="3" customFormat="false" ht="15" hidden="false" customHeight="false" outlineLevel="0" collapsed="false">
      <c r="A3" s="18" t="s">
        <v>54</v>
      </c>
      <c r="B3" s="18" t="n">
        <v>1</v>
      </c>
      <c r="C3" s="18" t="s">
        <v>312</v>
      </c>
      <c r="D3" s="18" t="str">
        <f aca="false">4_Scorer_A!G3</f>
        <v/>
      </c>
      <c r="E3" s="18" t="str">
        <f aca="false">4_Scorer_B!G3</f>
        <v/>
      </c>
      <c r="F3" s="18" t="str">
        <f aca="false">4_Scorer_C!G3</f>
        <v/>
      </c>
      <c r="G3" s="18" t="str">
        <f aca="false">IF(COUNT(D3:F3)=3,AVERAGE(D3:F3),"")</f>
        <v/>
      </c>
      <c r="H3" s="18" t="str">
        <f aca="false">IF(COUNT(D3:F3)=3,MAX(D3:F3)-MIN(D3:F3),"")</f>
        <v/>
      </c>
      <c r="I3" s="18" t="str">
        <f aca="false">IF(H3="","",IF(H3&gt;1,"RECONCILE","OK"))</f>
        <v/>
      </c>
      <c r="J3" s="18" t="str">
        <f aca="false">IF(G3="","",G3)</f>
        <v/>
      </c>
    </row>
    <row r="4" customFormat="false" ht="15" hidden="false" customHeight="false" outlineLevel="0" collapsed="false">
      <c r="A4" s="18" t="s">
        <v>54</v>
      </c>
      <c r="B4" s="18" t="n">
        <v>1</v>
      </c>
      <c r="C4" s="18" t="s">
        <v>313</v>
      </c>
      <c r="D4" s="18" t="str">
        <f aca="false">4_Scorer_A!G4</f>
        <v/>
      </c>
      <c r="E4" s="18" t="str">
        <f aca="false">4_Scorer_B!G4</f>
        <v/>
      </c>
      <c r="F4" s="18" t="str">
        <f aca="false">4_Scorer_C!G4</f>
        <v/>
      </c>
      <c r="G4" s="18" t="str">
        <f aca="false">IF(COUNT(D4:F4)=3,AVERAGE(D4:F4),"")</f>
        <v/>
      </c>
      <c r="H4" s="18" t="str">
        <f aca="false">IF(COUNT(D4:F4)=3,MAX(D4:F4)-MIN(D4:F4),"")</f>
        <v/>
      </c>
      <c r="I4" s="18" t="str">
        <f aca="false">IF(H4="","",IF(H4&gt;1,"RECONCILE","OK"))</f>
        <v/>
      </c>
      <c r="J4" s="18" t="str">
        <f aca="false">IF(G4="","",G4)</f>
        <v/>
      </c>
    </row>
    <row r="5" customFormat="false" ht="15" hidden="false" customHeight="false" outlineLevel="0" collapsed="false">
      <c r="A5" s="18" t="s">
        <v>54</v>
      </c>
      <c r="B5" s="18" t="n">
        <v>1</v>
      </c>
      <c r="C5" s="18" t="s">
        <v>314</v>
      </c>
      <c r="D5" s="18" t="str">
        <f aca="false">4_Scorer_A!G5</f>
        <v/>
      </c>
      <c r="E5" s="18" t="str">
        <f aca="false">4_Scorer_B!G5</f>
        <v/>
      </c>
      <c r="F5" s="18" t="str">
        <f aca="false">4_Scorer_C!G5</f>
        <v/>
      </c>
      <c r="G5" s="18" t="str">
        <f aca="false">IF(COUNT(D5:F5)=3,AVERAGE(D5:F5),"")</f>
        <v/>
      </c>
      <c r="H5" s="18" t="str">
        <f aca="false">IF(COUNT(D5:F5)=3,MAX(D5:F5)-MIN(D5:F5),"")</f>
        <v/>
      </c>
      <c r="I5" s="18" t="str">
        <f aca="false">IF(H5="","",IF(H5&gt;1,"RECONCILE","OK"))</f>
        <v/>
      </c>
      <c r="J5" s="18" t="str">
        <f aca="false">IF(G5="","",G5)</f>
        <v/>
      </c>
    </row>
    <row r="6" customFormat="false" ht="15" hidden="false" customHeight="false" outlineLevel="0" collapsed="false">
      <c r="A6" s="18" t="s">
        <v>61</v>
      </c>
      <c r="B6" s="18" t="n">
        <v>1</v>
      </c>
      <c r="C6" s="18" t="s">
        <v>311</v>
      </c>
      <c r="D6" s="18" t="str">
        <f aca="false">4_Scorer_A!G6</f>
        <v/>
      </c>
      <c r="E6" s="18" t="str">
        <f aca="false">4_Scorer_B!G6</f>
        <v/>
      </c>
      <c r="F6" s="18" t="str">
        <f aca="false">4_Scorer_C!G6</f>
        <v/>
      </c>
      <c r="G6" s="18" t="str">
        <f aca="false">IF(COUNT(D6:F6)=3,AVERAGE(D6:F6),"")</f>
        <v/>
      </c>
      <c r="H6" s="18" t="str">
        <f aca="false">IF(COUNT(D6:F6)=3,MAX(D6:F6)-MIN(D6:F6),"")</f>
        <v/>
      </c>
      <c r="I6" s="18" t="str">
        <f aca="false">IF(H6="","",IF(H6&gt;1,"RECONCILE","OK"))</f>
        <v/>
      </c>
      <c r="J6" s="18" t="str">
        <f aca="false">IF(G6="","",G6)</f>
        <v/>
      </c>
    </row>
    <row r="7" customFormat="false" ht="15" hidden="false" customHeight="false" outlineLevel="0" collapsed="false">
      <c r="A7" s="18" t="s">
        <v>61</v>
      </c>
      <c r="B7" s="18" t="n">
        <v>1</v>
      </c>
      <c r="C7" s="18" t="s">
        <v>312</v>
      </c>
      <c r="D7" s="18" t="str">
        <f aca="false">4_Scorer_A!G7</f>
        <v/>
      </c>
      <c r="E7" s="18" t="str">
        <f aca="false">4_Scorer_B!G7</f>
        <v/>
      </c>
      <c r="F7" s="18" t="str">
        <f aca="false">4_Scorer_C!G7</f>
        <v/>
      </c>
      <c r="G7" s="18" t="str">
        <f aca="false">IF(COUNT(D7:F7)=3,AVERAGE(D7:F7),"")</f>
        <v/>
      </c>
      <c r="H7" s="18" t="str">
        <f aca="false">IF(COUNT(D7:F7)=3,MAX(D7:F7)-MIN(D7:F7),"")</f>
        <v/>
      </c>
      <c r="I7" s="18" t="str">
        <f aca="false">IF(H7="","",IF(H7&gt;1,"RECONCILE","OK"))</f>
        <v/>
      </c>
      <c r="J7" s="18" t="str">
        <f aca="false">IF(G7="","",G7)</f>
        <v/>
      </c>
    </row>
    <row r="8" customFormat="false" ht="15" hidden="false" customHeight="false" outlineLevel="0" collapsed="false">
      <c r="A8" s="18" t="s">
        <v>61</v>
      </c>
      <c r="B8" s="18" t="n">
        <v>1</v>
      </c>
      <c r="C8" s="18" t="s">
        <v>313</v>
      </c>
      <c r="D8" s="18" t="str">
        <f aca="false">4_Scorer_A!G8</f>
        <v/>
      </c>
      <c r="E8" s="18" t="str">
        <f aca="false">4_Scorer_B!G8</f>
        <v/>
      </c>
      <c r="F8" s="18" t="str">
        <f aca="false">4_Scorer_C!G8</f>
        <v/>
      </c>
      <c r="G8" s="18" t="str">
        <f aca="false">IF(COUNT(D8:F8)=3,AVERAGE(D8:F8),"")</f>
        <v/>
      </c>
      <c r="H8" s="18" t="str">
        <f aca="false">IF(COUNT(D8:F8)=3,MAX(D8:F8)-MIN(D8:F8),"")</f>
        <v/>
      </c>
      <c r="I8" s="18" t="str">
        <f aca="false">IF(H8="","",IF(H8&gt;1,"RECONCILE","OK"))</f>
        <v/>
      </c>
      <c r="J8" s="18" t="str">
        <f aca="false">IF(G8="","",G8)</f>
        <v/>
      </c>
    </row>
    <row r="9" customFormat="false" ht="15" hidden="false" customHeight="false" outlineLevel="0" collapsed="false">
      <c r="A9" s="18" t="s">
        <v>61</v>
      </c>
      <c r="B9" s="18" t="n">
        <v>1</v>
      </c>
      <c r="C9" s="18" t="s">
        <v>314</v>
      </c>
      <c r="D9" s="18" t="str">
        <f aca="false">4_Scorer_A!G9</f>
        <v/>
      </c>
      <c r="E9" s="18" t="str">
        <f aca="false">4_Scorer_B!G9</f>
        <v/>
      </c>
      <c r="F9" s="18" t="str">
        <f aca="false">4_Scorer_C!G9</f>
        <v/>
      </c>
      <c r="G9" s="18" t="str">
        <f aca="false">IF(COUNT(D9:F9)=3,AVERAGE(D9:F9),"")</f>
        <v/>
      </c>
      <c r="H9" s="18" t="str">
        <f aca="false">IF(COUNT(D9:F9)=3,MAX(D9:F9)-MIN(D9:F9),"")</f>
        <v/>
      </c>
      <c r="I9" s="18" t="str">
        <f aca="false">IF(H9="","",IF(H9&gt;1,"RECONCILE","OK"))</f>
        <v/>
      </c>
      <c r="J9" s="18" t="str">
        <f aca="false">IF(G9="","",G9)</f>
        <v/>
      </c>
    </row>
    <row r="10" customFormat="false" ht="15" hidden="false" customHeight="false" outlineLevel="0" collapsed="false">
      <c r="A10" s="18" t="s">
        <v>66</v>
      </c>
      <c r="B10" s="18" t="n">
        <v>1</v>
      </c>
      <c r="C10" s="18" t="s">
        <v>311</v>
      </c>
      <c r="D10" s="18" t="str">
        <f aca="false">4_Scorer_A!G10</f>
        <v/>
      </c>
      <c r="E10" s="18" t="str">
        <f aca="false">4_Scorer_B!G10</f>
        <v/>
      </c>
      <c r="F10" s="18" t="str">
        <f aca="false">4_Scorer_C!G10</f>
        <v/>
      </c>
      <c r="G10" s="18" t="str">
        <f aca="false">IF(COUNT(D10:F10)=3,AVERAGE(D10:F10),"")</f>
        <v/>
      </c>
      <c r="H10" s="18" t="str">
        <f aca="false">IF(COUNT(D10:F10)=3,MAX(D10:F10)-MIN(D10:F10),"")</f>
        <v/>
      </c>
      <c r="I10" s="18" t="str">
        <f aca="false">IF(H10="","",IF(H10&gt;1,"RECONCILE","OK"))</f>
        <v/>
      </c>
      <c r="J10" s="18" t="str">
        <f aca="false">IF(G10="","",G10)</f>
        <v/>
      </c>
    </row>
    <row r="11" customFormat="false" ht="15" hidden="false" customHeight="false" outlineLevel="0" collapsed="false">
      <c r="A11" s="18" t="s">
        <v>66</v>
      </c>
      <c r="B11" s="18" t="n">
        <v>1</v>
      </c>
      <c r="C11" s="18" t="s">
        <v>312</v>
      </c>
      <c r="D11" s="18" t="str">
        <f aca="false">4_Scorer_A!G11</f>
        <v/>
      </c>
      <c r="E11" s="18" t="str">
        <f aca="false">4_Scorer_B!G11</f>
        <v/>
      </c>
      <c r="F11" s="18" t="str">
        <f aca="false">4_Scorer_C!G11</f>
        <v/>
      </c>
      <c r="G11" s="18" t="str">
        <f aca="false">IF(COUNT(D11:F11)=3,AVERAGE(D11:F11),"")</f>
        <v/>
      </c>
      <c r="H11" s="18" t="str">
        <f aca="false">IF(COUNT(D11:F11)=3,MAX(D11:F11)-MIN(D11:F11),"")</f>
        <v/>
      </c>
      <c r="I11" s="18" t="str">
        <f aca="false">IF(H11="","",IF(H11&gt;1,"RECONCILE","OK"))</f>
        <v/>
      </c>
      <c r="J11" s="18" t="str">
        <f aca="false">IF(G11="","",G11)</f>
        <v/>
      </c>
    </row>
    <row r="12" customFormat="false" ht="15" hidden="false" customHeight="false" outlineLevel="0" collapsed="false">
      <c r="A12" s="18" t="s">
        <v>66</v>
      </c>
      <c r="B12" s="18" t="n">
        <v>1</v>
      </c>
      <c r="C12" s="18" t="s">
        <v>313</v>
      </c>
      <c r="D12" s="18" t="str">
        <f aca="false">4_Scorer_A!G12</f>
        <v/>
      </c>
      <c r="E12" s="18" t="str">
        <f aca="false">4_Scorer_B!G12</f>
        <v/>
      </c>
      <c r="F12" s="18" t="str">
        <f aca="false">4_Scorer_C!G12</f>
        <v/>
      </c>
      <c r="G12" s="18" t="str">
        <f aca="false">IF(COUNT(D12:F12)=3,AVERAGE(D12:F12),"")</f>
        <v/>
      </c>
      <c r="H12" s="18" t="str">
        <f aca="false">IF(COUNT(D12:F12)=3,MAX(D12:F12)-MIN(D12:F12),"")</f>
        <v/>
      </c>
      <c r="I12" s="18" t="str">
        <f aca="false">IF(H12="","",IF(H12&gt;1,"RECONCILE","OK"))</f>
        <v/>
      </c>
      <c r="J12" s="18" t="str">
        <f aca="false">IF(G12="","",G12)</f>
        <v/>
      </c>
    </row>
    <row r="13" customFormat="false" ht="15" hidden="false" customHeight="false" outlineLevel="0" collapsed="false">
      <c r="A13" s="18" t="s">
        <v>66</v>
      </c>
      <c r="B13" s="18" t="n">
        <v>1</v>
      </c>
      <c r="C13" s="18" t="s">
        <v>314</v>
      </c>
      <c r="D13" s="18" t="str">
        <f aca="false">4_Scorer_A!G13</f>
        <v/>
      </c>
      <c r="E13" s="18" t="str">
        <f aca="false">4_Scorer_B!G13</f>
        <v/>
      </c>
      <c r="F13" s="18" t="str">
        <f aca="false">4_Scorer_C!G13</f>
        <v/>
      </c>
      <c r="G13" s="18" t="str">
        <f aca="false">IF(COUNT(D13:F13)=3,AVERAGE(D13:F13),"")</f>
        <v/>
      </c>
      <c r="H13" s="18" t="str">
        <f aca="false">IF(COUNT(D13:F13)=3,MAX(D13:F13)-MIN(D13:F13),"")</f>
        <v/>
      </c>
      <c r="I13" s="18" t="str">
        <f aca="false">IF(H13="","",IF(H13&gt;1,"RECONCILE","OK"))</f>
        <v/>
      </c>
      <c r="J13" s="18" t="str">
        <f aca="false">IF(G13="","",G13)</f>
        <v/>
      </c>
    </row>
    <row r="14" customFormat="false" ht="15" hidden="false" customHeight="false" outlineLevel="0" collapsed="false">
      <c r="A14" s="18" t="s">
        <v>70</v>
      </c>
      <c r="B14" s="18" t="n">
        <v>1</v>
      </c>
      <c r="C14" s="18" t="s">
        <v>311</v>
      </c>
      <c r="D14" s="18" t="str">
        <f aca="false">4_Scorer_A!G14</f>
        <v/>
      </c>
      <c r="E14" s="18" t="str">
        <f aca="false">4_Scorer_B!G14</f>
        <v/>
      </c>
      <c r="F14" s="18" t="str">
        <f aca="false">4_Scorer_C!G14</f>
        <v/>
      </c>
      <c r="G14" s="18" t="str">
        <f aca="false">IF(COUNT(D14:F14)=3,AVERAGE(D14:F14),"")</f>
        <v/>
      </c>
      <c r="H14" s="18" t="str">
        <f aca="false">IF(COUNT(D14:F14)=3,MAX(D14:F14)-MIN(D14:F14),"")</f>
        <v/>
      </c>
      <c r="I14" s="18" t="str">
        <f aca="false">IF(H14="","",IF(H14&gt;1,"RECONCILE","OK"))</f>
        <v/>
      </c>
      <c r="J14" s="18" t="str">
        <f aca="false">IF(G14="","",G14)</f>
        <v/>
      </c>
    </row>
    <row r="15" customFormat="false" ht="15" hidden="false" customHeight="false" outlineLevel="0" collapsed="false">
      <c r="A15" s="18" t="s">
        <v>70</v>
      </c>
      <c r="B15" s="18" t="n">
        <v>1</v>
      </c>
      <c r="C15" s="18" t="s">
        <v>312</v>
      </c>
      <c r="D15" s="18" t="str">
        <f aca="false">4_Scorer_A!G15</f>
        <v/>
      </c>
      <c r="E15" s="18" t="str">
        <f aca="false">4_Scorer_B!G15</f>
        <v/>
      </c>
      <c r="F15" s="18" t="str">
        <f aca="false">4_Scorer_C!G15</f>
        <v/>
      </c>
      <c r="G15" s="18" t="str">
        <f aca="false">IF(COUNT(D15:F15)=3,AVERAGE(D15:F15),"")</f>
        <v/>
      </c>
      <c r="H15" s="18" t="str">
        <f aca="false">IF(COUNT(D15:F15)=3,MAX(D15:F15)-MIN(D15:F15),"")</f>
        <v/>
      </c>
      <c r="I15" s="18" t="str">
        <f aca="false">IF(H15="","",IF(H15&gt;1,"RECONCILE","OK"))</f>
        <v/>
      </c>
      <c r="J15" s="18" t="str">
        <f aca="false">IF(G15="","",G15)</f>
        <v/>
      </c>
    </row>
    <row r="16" customFormat="false" ht="15" hidden="false" customHeight="false" outlineLevel="0" collapsed="false">
      <c r="A16" s="18" t="s">
        <v>70</v>
      </c>
      <c r="B16" s="18" t="n">
        <v>1</v>
      </c>
      <c r="C16" s="18" t="s">
        <v>313</v>
      </c>
      <c r="D16" s="18" t="str">
        <f aca="false">4_Scorer_A!G16</f>
        <v/>
      </c>
      <c r="E16" s="18" t="str">
        <f aca="false">4_Scorer_B!G16</f>
        <v/>
      </c>
      <c r="F16" s="18" t="str">
        <f aca="false">4_Scorer_C!G16</f>
        <v/>
      </c>
      <c r="G16" s="18" t="str">
        <f aca="false">IF(COUNT(D16:F16)=3,AVERAGE(D16:F16),"")</f>
        <v/>
      </c>
      <c r="H16" s="18" t="str">
        <f aca="false">IF(COUNT(D16:F16)=3,MAX(D16:F16)-MIN(D16:F16),"")</f>
        <v/>
      </c>
      <c r="I16" s="18" t="str">
        <f aca="false">IF(H16="","",IF(H16&gt;1,"RECONCILE","OK"))</f>
        <v/>
      </c>
      <c r="J16" s="18" t="str">
        <f aca="false">IF(G16="","",G16)</f>
        <v/>
      </c>
    </row>
    <row r="17" customFormat="false" ht="15" hidden="false" customHeight="false" outlineLevel="0" collapsed="false">
      <c r="A17" s="18" t="s">
        <v>70</v>
      </c>
      <c r="B17" s="18" t="n">
        <v>1</v>
      </c>
      <c r="C17" s="18" t="s">
        <v>314</v>
      </c>
      <c r="D17" s="18" t="str">
        <f aca="false">4_Scorer_A!G17</f>
        <v/>
      </c>
      <c r="E17" s="18" t="str">
        <f aca="false">4_Scorer_B!G17</f>
        <v/>
      </c>
      <c r="F17" s="18" t="str">
        <f aca="false">4_Scorer_C!G17</f>
        <v/>
      </c>
      <c r="G17" s="18" t="str">
        <f aca="false">IF(COUNT(D17:F17)=3,AVERAGE(D17:F17),"")</f>
        <v/>
      </c>
      <c r="H17" s="18" t="str">
        <f aca="false">IF(COUNT(D17:F17)=3,MAX(D17:F17)-MIN(D17:F17),"")</f>
        <v/>
      </c>
      <c r="I17" s="18" t="str">
        <f aca="false">IF(H17="","",IF(H17&gt;1,"RECONCILE","OK"))</f>
        <v/>
      </c>
      <c r="J17" s="18" t="str">
        <f aca="false">IF(G17="","",G17)</f>
        <v/>
      </c>
    </row>
    <row r="18" customFormat="false" ht="15" hidden="false" customHeight="false" outlineLevel="0" collapsed="false">
      <c r="A18" s="18" t="s">
        <v>75</v>
      </c>
      <c r="B18" s="18" t="n">
        <v>1</v>
      </c>
      <c r="C18" s="18" t="s">
        <v>311</v>
      </c>
      <c r="D18" s="18" t="str">
        <f aca="false">4_Scorer_A!G18</f>
        <v/>
      </c>
      <c r="E18" s="18" t="str">
        <f aca="false">4_Scorer_B!G18</f>
        <v/>
      </c>
      <c r="F18" s="18" t="str">
        <f aca="false">4_Scorer_C!G18</f>
        <v/>
      </c>
      <c r="G18" s="18" t="str">
        <f aca="false">IF(COUNT(D18:F18)=3,AVERAGE(D18:F18),"")</f>
        <v/>
      </c>
      <c r="H18" s="18" t="str">
        <f aca="false">IF(COUNT(D18:F18)=3,MAX(D18:F18)-MIN(D18:F18),"")</f>
        <v/>
      </c>
      <c r="I18" s="18" t="str">
        <f aca="false">IF(H18="","",IF(H18&gt;1,"RECONCILE","OK"))</f>
        <v/>
      </c>
      <c r="J18" s="18" t="str">
        <f aca="false">IF(G18="","",G18)</f>
        <v/>
      </c>
    </row>
    <row r="19" customFormat="false" ht="15" hidden="false" customHeight="false" outlineLevel="0" collapsed="false">
      <c r="A19" s="18" t="s">
        <v>75</v>
      </c>
      <c r="B19" s="18" t="n">
        <v>1</v>
      </c>
      <c r="C19" s="18" t="s">
        <v>312</v>
      </c>
      <c r="D19" s="18" t="str">
        <f aca="false">4_Scorer_A!G19</f>
        <v/>
      </c>
      <c r="E19" s="18" t="str">
        <f aca="false">4_Scorer_B!G19</f>
        <v/>
      </c>
      <c r="F19" s="18" t="str">
        <f aca="false">4_Scorer_C!G19</f>
        <v/>
      </c>
      <c r="G19" s="18" t="str">
        <f aca="false">IF(COUNT(D19:F19)=3,AVERAGE(D19:F19),"")</f>
        <v/>
      </c>
      <c r="H19" s="18" t="str">
        <f aca="false">IF(COUNT(D19:F19)=3,MAX(D19:F19)-MIN(D19:F19),"")</f>
        <v/>
      </c>
      <c r="I19" s="18" t="str">
        <f aca="false">IF(H19="","",IF(H19&gt;1,"RECONCILE","OK"))</f>
        <v/>
      </c>
      <c r="J19" s="18" t="str">
        <f aca="false">IF(G19="","",G19)</f>
        <v/>
      </c>
    </row>
    <row r="20" customFormat="false" ht="15" hidden="false" customHeight="false" outlineLevel="0" collapsed="false">
      <c r="A20" s="18" t="s">
        <v>75</v>
      </c>
      <c r="B20" s="18" t="n">
        <v>1</v>
      </c>
      <c r="C20" s="18" t="s">
        <v>313</v>
      </c>
      <c r="D20" s="18" t="str">
        <f aca="false">4_Scorer_A!G20</f>
        <v/>
      </c>
      <c r="E20" s="18" t="str">
        <f aca="false">4_Scorer_B!G20</f>
        <v/>
      </c>
      <c r="F20" s="18" t="str">
        <f aca="false">4_Scorer_C!G20</f>
        <v/>
      </c>
      <c r="G20" s="18" t="str">
        <f aca="false">IF(COUNT(D20:F20)=3,AVERAGE(D20:F20),"")</f>
        <v/>
      </c>
      <c r="H20" s="18" t="str">
        <f aca="false">IF(COUNT(D20:F20)=3,MAX(D20:F20)-MIN(D20:F20),"")</f>
        <v/>
      </c>
      <c r="I20" s="18" t="str">
        <f aca="false">IF(H20="","",IF(H20&gt;1,"RECONCILE","OK"))</f>
        <v/>
      </c>
      <c r="J20" s="18" t="str">
        <f aca="false">IF(G20="","",G20)</f>
        <v/>
      </c>
    </row>
    <row r="21" customFormat="false" ht="15" hidden="false" customHeight="false" outlineLevel="0" collapsed="false">
      <c r="A21" s="18" t="s">
        <v>75</v>
      </c>
      <c r="B21" s="18" t="n">
        <v>1</v>
      </c>
      <c r="C21" s="18" t="s">
        <v>314</v>
      </c>
      <c r="D21" s="18" t="str">
        <f aca="false">4_Scorer_A!G21</f>
        <v/>
      </c>
      <c r="E21" s="18" t="str">
        <f aca="false">4_Scorer_B!G21</f>
        <v/>
      </c>
      <c r="F21" s="18" t="str">
        <f aca="false">4_Scorer_C!G21</f>
        <v/>
      </c>
      <c r="G21" s="18" t="str">
        <f aca="false">IF(COUNT(D21:F21)=3,AVERAGE(D21:F21),"")</f>
        <v/>
      </c>
      <c r="H21" s="18" t="str">
        <f aca="false">IF(COUNT(D21:F21)=3,MAX(D21:F21)-MIN(D21:F21),"")</f>
        <v/>
      </c>
      <c r="I21" s="18" t="str">
        <f aca="false">IF(H21="","",IF(H21&gt;1,"RECONCILE","OK"))</f>
        <v/>
      </c>
      <c r="J21" s="18" t="str">
        <f aca="false">IF(G21="","",G21)</f>
        <v/>
      </c>
    </row>
    <row r="22" customFormat="false" ht="15" hidden="false" customHeight="false" outlineLevel="0" collapsed="false">
      <c r="A22" s="18" t="s">
        <v>80</v>
      </c>
      <c r="B22" s="18" t="n">
        <v>1</v>
      </c>
      <c r="C22" s="18" t="s">
        <v>311</v>
      </c>
      <c r="D22" s="18" t="str">
        <f aca="false">4_Scorer_A!G22</f>
        <v/>
      </c>
      <c r="E22" s="18" t="str">
        <f aca="false">4_Scorer_B!G22</f>
        <v/>
      </c>
      <c r="F22" s="18" t="str">
        <f aca="false">4_Scorer_C!G22</f>
        <v/>
      </c>
      <c r="G22" s="18" t="str">
        <f aca="false">IF(COUNT(D22:F22)=3,AVERAGE(D22:F22),"")</f>
        <v/>
      </c>
      <c r="H22" s="18" t="str">
        <f aca="false">IF(COUNT(D22:F22)=3,MAX(D22:F22)-MIN(D22:F22),"")</f>
        <v/>
      </c>
      <c r="I22" s="18" t="str">
        <f aca="false">IF(H22="","",IF(H22&gt;1,"RECONCILE","OK"))</f>
        <v/>
      </c>
      <c r="J22" s="18" t="str">
        <f aca="false">IF(G22="","",G22)</f>
        <v/>
      </c>
    </row>
    <row r="23" customFormat="false" ht="15" hidden="false" customHeight="false" outlineLevel="0" collapsed="false">
      <c r="A23" s="18" t="s">
        <v>80</v>
      </c>
      <c r="B23" s="18" t="n">
        <v>1</v>
      </c>
      <c r="C23" s="18" t="s">
        <v>312</v>
      </c>
      <c r="D23" s="18" t="str">
        <f aca="false">4_Scorer_A!G23</f>
        <v/>
      </c>
      <c r="E23" s="18" t="str">
        <f aca="false">4_Scorer_B!G23</f>
        <v/>
      </c>
      <c r="F23" s="18" t="str">
        <f aca="false">4_Scorer_C!G23</f>
        <v/>
      </c>
      <c r="G23" s="18" t="str">
        <f aca="false">IF(COUNT(D23:F23)=3,AVERAGE(D23:F23),"")</f>
        <v/>
      </c>
      <c r="H23" s="18" t="str">
        <f aca="false">IF(COUNT(D23:F23)=3,MAX(D23:F23)-MIN(D23:F23),"")</f>
        <v/>
      </c>
      <c r="I23" s="18" t="str">
        <f aca="false">IF(H23="","",IF(H23&gt;1,"RECONCILE","OK"))</f>
        <v/>
      </c>
      <c r="J23" s="18" t="str">
        <f aca="false">IF(G23="","",G23)</f>
        <v/>
      </c>
    </row>
    <row r="24" customFormat="false" ht="15" hidden="false" customHeight="false" outlineLevel="0" collapsed="false">
      <c r="A24" s="18" t="s">
        <v>80</v>
      </c>
      <c r="B24" s="18" t="n">
        <v>1</v>
      </c>
      <c r="C24" s="18" t="s">
        <v>313</v>
      </c>
      <c r="D24" s="18" t="str">
        <f aca="false">4_Scorer_A!G24</f>
        <v/>
      </c>
      <c r="E24" s="18" t="str">
        <f aca="false">4_Scorer_B!G24</f>
        <v/>
      </c>
      <c r="F24" s="18" t="str">
        <f aca="false">4_Scorer_C!G24</f>
        <v/>
      </c>
      <c r="G24" s="18" t="str">
        <f aca="false">IF(COUNT(D24:F24)=3,AVERAGE(D24:F24),"")</f>
        <v/>
      </c>
      <c r="H24" s="18" t="str">
        <f aca="false">IF(COUNT(D24:F24)=3,MAX(D24:F24)-MIN(D24:F24),"")</f>
        <v/>
      </c>
      <c r="I24" s="18" t="str">
        <f aca="false">IF(H24="","",IF(H24&gt;1,"RECONCILE","OK"))</f>
        <v/>
      </c>
      <c r="J24" s="18" t="str">
        <f aca="false">IF(G24="","",G24)</f>
        <v/>
      </c>
    </row>
    <row r="25" customFormat="false" ht="15" hidden="false" customHeight="false" outlineLevel="0" collapsed="false">
      <c r="A25" s="18" t="s">
        <v>80</v>
      </c>
      <c r="B25" s="18" t="n">
        <v>1</v>
      </c>
      <c r="C25" s="18" t="s">
        <v>314</v>
      </c>
      <c r="D25" s="18" t="str">
        <f aca="false">4_Scorer_A!G25</f>
        <v/>
      </c>
      <c r="E25" s="18" t="str">
        <f aca="false">4_Scorer_B!G25</f>
        <v/>
      </c>
      <c r="F25" s="18" t="str">
        <f aca="false">4_Scorer_C!G25</f>
        <v/>
      </c>
      <c r="G25" s="18" t="str">
        <f aca="false">IF(COUNT(D25:F25)=3,AVERAGE(D25:F25),"")</f>
        <v/>
      </c>
      <c r="H25" s="18" t="str">
        <f aca="false">IF(COUNT(D25:F25)=3,MAX(D25:F25)-MIN(D25:F25),"")</f>
        <v/>
      </c>
      <c r="I25" s="18" t="str">
        <f aca="false">IF(H25="","",IF(H25&gt;1,"RECONCILE","OK"))</f>
        <v/>
      </c>
      <c r="J25" s="18" t="str">
        <f aca="false">IF(G25="","",G25)</f>
        <v/>
      </c>
    </row>
    <row r="26" customFormat="false" ht="15" hidden="false" customHeight="false" outlineLevel="0" collapsed="false">
      <c r="A26" s="18" t="s">
        <v>85</v>
      </c>
      <c r="B26" s="18" t="n">
        <v>1</v>
      </c>
      <c r="C26" s="18" t="s">
        <v>311</v>
      </c>
      <c r="D26" s="18" t="str">
        <f aca="false">4_Scorer_A!G26</f>
        <v/>
      </c>
      <c r="E26" s="18" t="str">
        <f aca="false">4_Scorer_B!G26</f>
        <v/>
      </c>
      <c r="F26" s="18" t="str">
        <f aca="false">4_Scorer_C!G26</f>
        <v/>
      </c>
      <c r="G26" s="18" t="str">
        <f aca="false">IF(COUNT(D26:F26)=3,AVERAGE(D26:F26),"")</f>
        <v/>
      </c>
      <c r="H26" s="18" t="str">
        <f aca="false">IF(COUNT(D26:F26)=3,MAX(D26:F26)-MIN(D26:F26),"")</f>
        <v/>
      </c>
      <c r="I26" s="18" t="str">
        <f aca="false">IF(H26="","",IF(H26&gt;1,"RECONCILE","OK"))</f>
        <v/>
      </c>
      <c r="J26" s="18" t="str">
        <f aca="false">IF(G26="","",G26)</f>
        <v/>
      </c>
    </row>
    <row r="27" customFormat="false" ht="15" hidden="false" customHeight="false" outlineLevel="0" collapsed="false">
      <c r="A27" s="18" t="s">
        <v>85</v>
      </c>
      <c r="B27" s="18" t="n">
        <v>1</v>
      </c>
      <c r="C27" s="18" t="s">
        <v>312</v>
      </c>
      <c r="D27" s="18" t="str">
        <f aca="false">4_Scorer_A!G27</f>
        <v/>
      </c>
      <c r="E27" s="18" t="str">
        <f aca="false">4_Scorer_B!G27</f>
        <v/>
      </c>
      <c r="F27" s="18" t="str">
        <f aca="false">4_Scorer_C!G27</f>
        <v/>
      </c>
      <c r="G27" s="18" t="str">
        <f aca="false">IF(COUNT(D27:F27)=3,AVERAGE(D27:F27),"")</f>
        <v/>
      </c>
      <c r="H27" s="18" t="str">
        <f aca="false">IF(COUNT(D27:F27)=3,MAX(D27:F27)-MIN(D27:F27),"")</f>
        <v/>
      </c>
      <c r="I27" s="18" t="str">
        <f aca="false">IF(H27="","",IF(H27&gt;1,"RECONCILE","OK"))</f>
        <v/>
      </c>
      <c r="J27" s="18" t="str">
        <f aca="false">IF(G27="","",G27)</f>
        <v/>
      </c>
    </row>
    <row r="28" customFormat="false" ht="15" hidden="false" customHeight="false" outlineLevel="0" collapsed="false">
      <c r="A28" s="18" t="s">
        <v>85</v>
      </c>
      <c r="B28" s="18" t="n">
        <v>1</v>
      </c>
      <c r="C28" s="18" t="s">
        <v>313</v>
      </c>
      <c r="D28" s="18" t="str">
        <f aca="false">4_Scorer_A!G28</f>
        <v/>
      </c>
      <c r="E28" s="18" t="str">
        <f aca="false">4_Scorer_B!G28</f>
        <v/>
      </c>
      <c r="F28" s="18" t="str">
        <f aca="false">4_Scorer_C!G28</f>
        <v/>
      </c>
      <c r="G28" s="18" t="str">
        <f aca="false">IF(COUNT(D28:F28)=3,AVERAGE(D28:F28),"")</f>
        <v/>
      </c>
      <c r="H28" s="18" t="str">
        <f aca="false">IF(COUNT(D28:F28)=3,MAX(D28:F28)-MIN(D28:F28),"")</f>
        <v/>
      </c>
      <c r="I28" s="18" t="str">
        <f aca="false">IF(H28="","",IF(H28&gt;1,"RECONCILE","OK"))</f>
        <v/>
      </c>
      <c r="J28" s="18" t="str">
        <f aca="false">IF(G28="","",G28)</f>
        <v/>
      </c>
    </row>
    <row r="29" customFormat="false" ht="15" hidden="false" customHeight="false" outlineLevel="0" collapsed="false">
      <c r="A29" s="18" t="s">
        <v>85</v>
      </c>
      <c r="B29" s="18" t="n">
        <v>1</v>
      </c>
      <c r="C29" s="18" t="s">
        <v>314</v>
      </c>
      <c r="D29" s="18" t="str">
        <f aca="false">4_Scorer_A!G29</f>
        <v/>
      </c>
      <c r="E29" s="18" t="str">
        <f aca="false">4_Scorer_B!G29</f>
        <v/>
      </c>
      <c r="F29" s="18" t="str">
        <f aca="false">4_Scorer_C!G29</f>
        <v/>
      </c>
      <c r="G29" s="18" t="str">
        <f aca="false">IF(COUNT(D29:F29)=3,AVERAGE(D29:F29),"")</f>
        <v/>
      </c>
      <c r="H29" s="18" t="str">
        <f aca="false">IF(COUNT(D29:F29)=3,MAX(D29:F29)-MIN(D29:F29),"")</f>
        <v/>
      </c>
      <c r="I29" s="18" t="str">
        <f aca="false">IF(H29="","",IF(H29&gt;1,"RECONCILE","OK"))</f>
        <v/>
      </c>
      <c r="J29" s="18" t="str">
        <f aca="false">IF(G29="","",G29)</f>
        <v/>
      </c>
    </row>
    <row r="30" customFormat="false" ht="15" hidden="false" customHeight="false" outlineLevel="0" collapsed="false">
      <c r="A30" s="18" t="s">
        <v>89</v>
      </c>
      <c r="B30" s="18" t="n">
        <v>1</v>
      </c>
      <c r="C30" s="18" t="s">
        <v>311</v>
      </c>
      <c r="D30" s="18" t="str">
        <f aca="false">4_Scorer_A!G30</f>
        <v/>
      </c>
      <c r="E30" s="18" t="str">
        <f aca="false">4_Scorer_B!G30</f>
        <v/>
      </c>
      <c r="F30" s="18" t="str">
        <f aca="false">4_Scorer_C!G30</f>
        <v/>
      </c>
      <c r="G30" s="18" t="str">
        <f aca="false">IF(COUNT(D30:F30)=3,AVERAGE(D30:F30),"")</f>
        <v/>
      </c>
      <c r="H30" s="18" t="str">
        <f aca="false">IF(COUNT(D30:F30)=3,MAX(D30:F30)-MIN(D30:F30),"")</f>
        <v/>
      </c>
      <c r="I30" s="18" t="str">
        <f aca="false">IF(H30="","",IF(H30&gt;1,"RECONCILE","OK"))</f>
        <v/>
      </c>
      <c r="J30" s="18" t="str">
        <f aca="false">IF(G30="","",G30)</f>
        <v/>
      </c>
    </row>
    <row r="31" customFormat="false" ht="15" hidden="false" customHeight="false" outlineLevel="0" collapsed="false">
      <c r="A31" s="18" t="s">
        <v>89</v>
      </c>
      <c r="B31" s="18" t="n">
        <v>1</v>
      </c>
      <c r="C31" s="18" t="s">
        <v>312</v>
      </c>
      <c r="D31" s="18" t="str">
        <f aca="false">4_Scorer_A!G31</f>
        <v/>
      </c>
      <c r="E31" s="18" t="str">
        <f aca="false">4_Scorer_B!G31</f>
        <v/>
      </c>
      <c r="F31" s="18" t="str">
        <f aca="false">4_Scorer_C!G31</f>
        <v/>
      </c>
      <c r="G31" s="18" t="str">
        <f aca="false">IF(COUNT(D31:F31)=3,AVERAGE(D31:F31),"")</f>
        <v/>
      </c>
      <c r="H31" s="18" t="str">
        <f aca="false">IF(COUNT(D31:F31)=3,MAX(D31:F31)-MIN(D31:F31),"")</f>
        <v/>
      </c>
      <c r="I31" s="18" t="str">
        <f aca="false">IF(H31="","",IF(H31&gt;1,"RECONCILE","OK"))</f>
        <v/>
      </c>
      <c r="J31" s="18" t="str">
        <f aca="false">IF(G31="","",G31)</f>
        <v/>
      </c>
    </row>
    <row r="32" customFormat="false" ht="15" hidden="false" customHeight="false" outlineLevel="0" collapsed="false">
      <c r="A32" s="18" t="s">
        <v>89</v>
      </c>
      <c r="B32" s="18" t="n">
        <v>1</v>
      </c>
      <c r="C32" s="18" t="s">
        <v>313</v>
      </c>
      <c r="D32" s="18" t="str">
        <f aca="false">4_Scorer_A!G32</f>
        <v/>
      </c>
      <c r="E32" s="18" t="str">
        <f aca="false">4_Scorer_B!G32</f>
        <v/>
      </c>
      <c r="F32" s="18" t="str">
        <f aca="false">4_Scorer_C!G32</f>
        <v/>
      </c>
      <c r="G32" s="18" t="str">
        <f aca="false">IF(COUNT(D32:F32)=3,AVERAGE(D32:F32),"")</f>
        <v/>
      </c>
      <c r="H32" s="18" t="str">
        <f aca="false">IF(COUNT(D32:F32)=3,MAX(D32:F32)-MIN(D32:F32),"")</f>
        <v/>
      </c>
      <c r="I32" s="18" t="str">
        <f aca="false">IF(H32="","",IF(H32&gt;1,"RECONCILE","OK"))</f>
        <v/>
      </c>
      <c r="J32" s="18" t="str">
        <f aca="false">IF(G32="","",G32)</f>
        <v/>
      </c>
    </row>
    <row r="33" customFormat="false" ht="15" hidden="false" customHeight="false" outlineLevel="0" collapsed="false">
      <c r="A33" s="18" t="s">
        <v>89</v>
      </c>
      <c r="B33" s="18" t="n">
        <v>1</v>
      </c>
      <c r="C33" s="18" t="s">
        <v>314</v>
      </c>
      <c r="D33" s="18" t="str">
        <f aca="false">4_Scorer_A!G33</f>
        <v/>
      </c>
      <c r="E33" s="18" t="str">
        <f aca="false">4_Scorer_B!G33</f>
        <v/>
      </c>
      <c r="F33" s="18" t="str">
        <f aca="false">4_Scorer_C!G33</f>
        <v/>
      </c>
      <c r="G33" s="18" t="str">
        <f aca="false">IF(COUNT(D33:F33)=3,AVERAGE(D33:F33),"")</f>
        <v/>
      </c>
      <c r="H33" s="18" t="str">
        <f aca="false">IF(COUNT(D33:F33)=3,MAX(D33:F33)-MIN(D33:F33),"")</f>
        <v/>
      </c>
      <c r="I33" s="18" t="str">
        <f aca="false">IF(H33="","",IF(H33&gt;1,"RECONCILE","OK"))</f>
        <v/>
      </c>
      <c r="J33" s="18" t="str">
        <f aca="false">IF(G33="","",G33)</f>
        <v/>
      </c>
    </row>
    <row r="34" customFormat="false" ht="15" hidden="false" customHeight="false" outlineLevel="0" collapsed="false">
      <c r="A34" s="18" t="s">
        <v>94</v>
      </c>
      <c r="B34" s="18" t="n">
        <v>1</v>
      </c>
      <c r="C34" s="18" t="s">
        <v>311</v>
      </c>
      <c r="D34" s="18" t="str">
        <f aca="false">4_Scorer_A!G34</f>
        <v/>
      </c>
      <c r="E34" s="18" t="str">
        <f aca="false">4_Scorer_B!G34</f>
        <v/>
      </c>
      <c r="F34" s="18" t="str">
        <f aca="false">4_Scorer_C!G34</f>
        <v/>
      </c>
      <c r="G34" s="18" t="str">
        <f aca="false">IF(COUNT(D34:F34)=3,AVERAGE(D34:F34),"")</f>
        <v/>
      </c>
      <c r="H34" s="18" t="str">
        <f aca="false">IF(COUNT(D34:F34)=3,MAX(D34:F34)-MIN(D34:F34),"")</f>
        <v/>
      </c>
      <c r="I34" s="18" t="str">
        <f aca="false">IF(H34="","",IF(H34&gt;1,"RECONCILE","OK"))</f>
        <v/>
      </c>
      <c r="J34" s="18" t="str">
        <f aca="false">IF(G34="","",G34)</f>
        <v/>
      </c>
    </row>
    <row r="35" customFormat="false" ht="15" hidden="false" customHeight="false" outlineLevel="0" collapsed="false">
      <c r="A35" s="18" t="s">
        <v>94</v>
      </c>
      <c r="B35" s="18" t="n">
        <v>1</v>
      </c>
      <c r="C35" s="18" t="s">
        <v>312</v>
      </c>
      <c r="D35" s="18" t="str">
        <f aca="false">4_Scorer_A!G35</f>
        <v/>
      </c>
      <c r="E35" s="18" t="str">
        <f aca="false">4_Scorer_B!G35</f>
        <v/>
      </c>
      <c r="F35" s="18" t="str">
        <f aca="false">4_Scorer_C!G35</f>
        <v/>
      </c>
      <c r="G35" s="18" t="str">
        <f aca="false">IF(COUNT(D35:F35)=3,AVERAGE(D35:F35),"")</f>
        <v/>
      </c>
      <c r="H35" s="18" t="str">
        <f aca="false">IF(COUNT(D35:F35)=3,MAX(D35:F35)-MIN(D35:F35),"")</f>
        <v/>
      </c>
      <c r="I35" s="18" t="str">
        <f aca="false">IF(H35="","",IF(H35&gt;1,"RECONCILE","OK"))</f>
        <v/>
      </c>
      <c r="J35" s="18" t="str">
        <f aca="false">IF(G35="","",G35)</f>
        <v/>
      </c>
    </row>
    <row r="36" customFormat="false" ht="15" hidden="false" customHeight="false" outlineLevel="0" collapsed="false">
      <c r="A36" s="18" t="s">
        <v>94</v>
      </c>
      <c r="B36" s="18" t="n">
        <v>1</v>
      </c>
      <c r="C36" s="18" t="s">
        <v>313</v>
      </c>
      <c r="D36" s="18" t="str">
        <f aca="false">4_Scorer_A!G36</f>
        <v/>
      </c>
      <c r="E36" s="18" t="str">
        <f aca="false">4_Scorer_B!G36</f>
        <v/>
      </c>
      <c r="F36" s="18" t="str">
        <f aca="false">4_Scorer_C!G36</f>
        <v/>
      </c>
      <c r="G36" s="18" t="str">
        <f aca="false">IF(COUNT(D36:F36)=3,AVERAGE(D36:F36),"")</f>
        <v/>
      </c>
      <c r="H36" s="18" t="str">
        <f aca="false">IF(COUNT(D36:F36)=3,MAX(D36:F36)-MIN(D36:F36),"")</f>
        <v/>
      </c>
      <c r="I36" s="18" t="str">
        <f aca="false">IF(H36="","",IF(H36&gt;1,"RECONCILE","OK"))</f>
        <v/>
      </c>
      <c r="J36" s="18" t="str">
        <f aca="false">IF(G36="","",G36)</f>
        <v/>
      </c>
    </row>
    <row r="37" customFormat="false" ht="15" hidden="false" customHeight="false" outlineLevel="0" collapsed="false">
      <c r="A37" s="18" t="s">
        <v>94</v>
      </c>
      <c r="B37" s="18" t="n">
        <v>1</v>
      </c>
      <c r="C37" s="18" t="s">
        <v>314</v>
      </c>
      <c r="D37" s="18" t="str">
        <f aca="false">4_Scorer_A!G37</f>
        <v/>
      </c>
      <c r="E37" s="18" t="str">
        <f aca="false">4_Scorer_B!G37</f>
        <v/>
      </c>
      <c r="F37" s="18" t="str">
        <f aca="false">4_Scorer_C!G37</f>
        <v/>
      </c>
      <c r="G37" s="18" t="str">
        <f aca="false">IF(COUNT(D37:F37)=3,AVERAGE(D37:F37),"")</f>
        <v/>
      </c>
      <c r="H37" s="18" t="str">
        <f aca="false">IF(COUNT(D37:F37)=3,MAX(D37:F37)-MIN(D37:F37),"")</f>
        <v/>
      </c>
      <c r="I37" s="18" t="str">
        <f aca="false">IF(H37="","",IF(H37&gt;1,"RECONCILE","OK"))</f>
        <v/>
      </c>
      <c r="J37" s="18" t="str">
        <f aca="false">IF(G37="","",G37)</f>
        <v/>
      </c>
    </row>
    <row r="38" customFormat="false" ht="15" hidden="false" customHeight="false" outlineLevel="0" collapsed="false">
      <c r="A38" s="18" t="s">
        <v>98</v>
      </c>
      <c r="B38" s="18" t="n">
        <v>1</v>
      </c>
      <c r="C38" s="18" t="s">
        <v>311</v>
      </c>
      <c r="D38" s="18" t="str">
        <f aca="false">4_Scorer_A!G38</f>
        <v/>
      </c>
      <c r="E38" s="18" t="str">
        <f aca="false">4_Scorer_B!G38</f>
        <v/>
      </c>
      <c r="F38" s="18" t="str">
        <f aca="false">4_Scorer_C!G38</f>
        <v/>
      </c>
      <c r="G38" s="18" t="str">
        <f aca="false">IF(COUNT(D38:F38)=3,AVERAGE(D38:F38),"")</f>
        <v/>
      </c>
      <c r="H38" s="18" t="str">
        <f aca="false">IF(COUNT(D38:F38)=3,MAX(D38:F38)-MIN(D38:F38),"")</f>
        <v/>
      </c>
      <c r="I38" s="18" t="str">
        <f aca="false">IF(H38="","",IF(H38&gt;1,"RECONCILE","OK"))</f>
        <v/>
      </c>
      <c r="J38" s="18" t="str">
        <f aca="false">IF(G38="","",G38)</f>
        <v/>
      </c>
    </row>
    <row r="39" customFormat="false" ht="15" hidden="false" customHeight="false" outlineLevel="0" collapsed="false">
      <c r="A39" s="18" t="s">
        <v>98</v>
      </c>
      <c r="B39" s="18" t="n">
        <v>1</v>
      </c>
      <c r="C39" s="18" t="s">
        <v>312</v>
      </c>
      <c r="D39" s="18" t="str">
        <f aca="false">4_Scorer_A!G39</f>
        <v/>
      </c>
      <c r="E39" s="18" t="str">
        <f aca="false">4_Scorer_B!G39</f>
        <v/>
      </c>
      <c r="F39" s="18" t="str">
        <f aca="false">4_Scorer_C!G39</f>
        <v/>
      </c>
      <c r="G39" s="18" t="str">
        <f aca="false">IF(COUNT(D39:F39)=3,AVERAGE(D39:F39),"")</f>
        <v/>
      </c>
      <c r="H39" s="18" t="str">
        <f aca="false">IF(COUNT(D39:F39)=3,MAX(D39:F39)-MIN(D39:F39),"")</f>
        <v/>
      </c>
      <c r="I39" s="18" t="str">
        <f aca="false">IF(H39="","",IF(H39&gt;1,"RECONCILE","OK"))</f>
        <v/>
      </c>
      <c r="J39" s="18" t="str">
        <f aca="false">IF(G39="","",G39)</f>
        <v/>
      </c>
    </row>
    <row r="40" customFormat="false" ht="15" hidden="false" customHeight="false" outlineLevel="0" collapsed="false">
      <c r="A40" s="18" t="s">
        <v>98</v>
      </c>
      <c r="B40" s="18" t="n">
        <v>1</v>
      </c>
      <c r="C40" s="18" t="s">
        <v>313</v>
      </c>
      <c r="D40" s="18" t="str">
        <f aca="false">4_Scorer_A!G40</f>
        <v/>
      </c>
      <c r="E40" s="18" t="str">
        <f aca="false">4_Scorer_B!G40</f>
        <v/>
      </c>
      <c r="F40" s="18" t="str">
        <f aca="false">4_Scorer_C!G40</f>
        <v/>
      </c>
      <c r="G40" s="18" t="str">
        <f aca="false">IF(COUNT(D40:F40)=3,AVERAGE(D40:F40),"")</f>
        <v/>
      </c>
      <c r="H40" s="18" t="str">
        <f aca="false">IF(COUNT(D40:F40)=3,MAX(D40:F40)-MIN(D40:F40),"")</f>
        <v/>
      </c>
      <c r="I40" s="18" t="str">
        <f aca="false">IF(H40="","",IF(H40&gt;1,"RECONCILE","OK"))</f>
        <v/>
      </c>
      <c r="J40" s="18" t="str">
        <f aca="false">IF(G40="","",G40)</f>
        <v/>
      </c>
    </row>
    <row r="41" customFormat="false" ht="15" hidden="false" customHeight="false" outlineLevel="0" collapsed="false">
      <c r="A41" s="18" t="s">
        <v>98</v>
      </c>
      <c r="B41" s="18" t="n">
        <v>1</v>
      </c>
      <c r="C41" s="18" t="s">
        <v>314</v>
      </c>
      <c r="D41" s="18" t="str">
        <f aca="false">4_Scorer_A!G41</f>
        <v/>
      </c>
      <c r="E41" s="18" t="str">
        <f aca="false">4_Scorer_B!G41</f>
        <v/>
      </c>
      <c r="F41" s="18" t="str">
        <f aca="false">4_Scorer_C!G41</f>
        <v/>
      </c>
      <c r="G41" s="18" t="str">
        <f aca="false">IF(COUNT(D41:F41)=3,AVERAGE(D41:F41),"")</f>
        <v/>
      </c>
      <c r="H41" s="18" t="str">
        <f aca="false">IF(COUNT(D41:F41)=3,MAX(D41:F41)-MIN(D41:F41),"")</f>
        <v/>
      </c>
      <c r="I41" s="18" t="str">
        <f aca="false">IF(H41="","",IF(H41&gt;1,"RECONCILE","OK"))</f>
        <v/>
      </c>
      <c r="J41" s="18" t="str">
        <f aca="false">IF(G41="","",G41)</f>
        <v/>
      </c>
    </row>
    <row r="42" customFormat="false" ht="15" hidden="false" customHeight="false" outlineLevel="0" collapsed="false">
      <c r="A42" s="18" t="s">
        <v>103</v>
      </c>
      <c r="B42" s="18" t="n">
        <v>2</v>
      </c>
      <c r="C42" s="18" t="s">
        <v>311</v>
      </c>
      <c r="D42" s="18" t="str">
        <f aca="false">4_Scorer_A!G42</f>
        <v/>
      </c>
      <c r="E42" s="18" t="str">
        <f aca="false">4_Scorer_B!G42</f>
        <v/>
      </c>
      <c r="F42" s="18" t="str">
        <f aca="false">4_Scorer_C!G42</f>
        <v/>
      </c>
      <c r="G42" s="18" t="str">
        <f aca="false">IF(COUNT(D42:F42)=3,AVERAGE(D42:F42),"")</f>
        <v/>
      </c>
      <c r="H42" s="18" t="str">
        <f aca="false">IF(COUNT(D42:F42)=3,MAX(D42:F42)-MIN(D42:F42),"")</f>
        <v/>
      </c>
      <c r="I42" s="18" t="str">
        <f aca="false">IF(H42="","",IF(H42&gt;1,"RECONCILE","OK"))</f>
        <v/>
      </c>
      <c r="J42" s="18" t="str">
        <f aca="false">IF(G42="","",G42)</f>
        <v/>
      </c>
    </row>
    <row r="43" customFormat="false" ht="15" hidden="false" customHeight="false" outlineLevel="0" collapsed="false">
      <c r="A43" s="18" t="s">
        <v>103</v>
      </c>
      <c r="B43" s="18" t="n">
        <v>2</v>
      </c>
      <c r="C43" s="18" t="s">
        <v>312</v>
      </c>
      <c r="D43" s="18" t="str">
        <f aca="false">4_Scorer_A!G43</f>
        <v/>
      </c>
      <c r="E43" s="18" t="str">
        <f aca="false">4_Scorer_B!G43</f>
        <v/>
      </c>
      <c r="F43" s="18" t="str">
        <f aca="false">4_Scorer_C!G43</f>
        <v/>
      </c>
      <c r="G43" s="18" t="str">
        <f aca="false">IF(COUNT(D43:F43)=3,AVERAGE(D43:F43),"")</f>
        <v/>
      </c>
      <c r="H43" s="18" t="str">
        <f aca="false">IF(COUNT(D43:F43)=3,MAX(D43:F43)-MIN(D43:F43),"")</f>
        <v/>
      </c>
      <c r="I43" s="18" t="str">
        <f aca="false">IF(H43="","",IF(H43&gt;1,"RECONCILE","OK"))</f>
        <v/>
      </c>
      <c r="J43" s="18" t="str">
        <f aca="false">IF(G43="","",G43)</f>
        <v/>
      </c>
    </row>
    <row r="44" customFormat="false" ht="15" hidden="false" customHeight="false" outlineLevel="0" collapsed="false">
      <c r="A44" s="18" t="s">
        <v>103</v>
      </c>
      <c r="B44" s="18" t="n">
        <v>2</v>
      </c>
      <c r="C44" s="18" t="s">
        <v>313</v>
      </c>
      <c r="D44" s="18" t="str">
        <f aca="false">4_Scorer_A!G44</f>
        <v/>
      </c>
      <c r="E44" s="18" t="str">
        <f aca="false">4_Scorer_B!G44</f>
        <v/>
      </c>
      <c r="F44" s="18" t="str">
        <f aca="false">4_Scorer_C!G44</f>
        <v/>
      </c>
      <c r="G44" s="18" t="str">
        <f aca="false">IF(COUNT(D44:F44)=3,AVERAGE(D44:F44),"")</f>
        <v/>
      </c>
      <c r="H44" s="18" t="str">
        <f aca="false">IF(COUNT(D44:F44)=3,MAX(D44:F44)-MIN(D44:F44),"")</f>
        <v/>
      </c>
      <c r="I44" s="18" t="str">
        <f aca="false">IF(H44="","",IF(H44&gt;1,"RECONCILE","OK"))</f>
        <v/>
      </c>
      <c r="J44" s="18" t="str">
        <f aca="false">IF(G44="","",G44)</f>
        <v/>
      </c>
    </row>
    <row r="45" customFormat="false" ht="15" hidden="false" customHeight="false" outlineLevel="0" collapsed="false">
      <c r="A45" s="18" t="s">
        <v>103</v>
      </c>
      <c r="B45" s="18" t="n">
        <v>2</v>
      </c>
      <c r="C45" s="18" t="s">
        <v>314</v>
      </c>
      <c r="D45" s="18" t="str">
        <f aca="false">4_Scorer_A!G45</f>
        <v/>
      </c>
      <c r="E45" s="18" t="str">
        <f aca="false">4_Scorer_B!G45</f>
        <v/>
      </c>
      <c r="F45" s="18" t="str">
        <f aca="false">4_Scorer_C!G45</f>
        <v/>
      </c>
      <c r="G45" s="18" t="str">
        <f aca="false">IF(COUNT(D45:F45)=3,AVERAGE(D45:F45),"")</f>
        <v/>
      </c>
      <c r="H45" s="18" t="str">
        <f aca="false">IF(COUNT(D45:F45)=3,MAX(D45:F45)-MIN(D45:F45),"")</f>
        <v/>
      </c>
      <c r="I45" s="18" t="str">
        <f aca="false">IF(H45="","",IF(H45&gt;1,"RECONCILE","OK"))</f>
        <v/>
      </c>
      <c r="J45" s="18" t="str">
        <f aca="false">IF(G45="","",G45)</f>
        <v/>
      </c>
    </row>
    <row r="46" customFormat="false" ht="15" hidden="false" customHeight="false" outlineLevel="0" collapsed="false">
      <c r="A46" s="18" t="s">
        <v>108</v>
      </c>
      <c r="B46" s="18" t="n">
        <v>2</v>
      </c>
      <c r="C46" s="18" t="s">
        <v>311</v>
      </c>
      <c r="D46" s="18" t="str">
        <f aca="false">4_Scorer_A!G46</f>
        <v/>
      </c>
      <c r="E46" s="18" t="str">
        <f aca="false">4_Scorer_B!G46</f>
        <v/>
      </c>
      <c r="F46" s="18" t="str">
        <f aca="false">4_Scorer_C!G46</f>
        <v/>
      </c>
      <c r="G46" s="18" t="str">
        <f aca="false">IF(COUNT(D46:F46)=3,AVERAGE(D46:F46),"")</f>
        <v/>
      </c>
      <c r="H46" s="18" t="str">
        <f aca="false">IF(COUNT(D46:F46)=3,MAX(D46:F46)-MIN(D46:F46),"")</f>
        <v/>
      </c>
      <c r="I46" s="18" t="str">
        <f aca="false">IF(H46="","",IF(H46&gt;1,"RECONCILE","OK"))</f>
        <v/>
      </c>
      <c r="J46" s="18" t="str">
        <f aca="false">IF(G46="","",G46)</f>
        <v/>
      </c>
    </row>
    <row r="47" customFormat="false" ht="15" hidden="false" customHeight="false" outlineLevel="0" collapsed="false">
      <c r="A47" s="18" t="s">
        <v>108</v>
      </c>
      <c r="B47" s="18" t="n">
        <v>2</v>
      </c>
      <c r="C47" s="18" t="s">
        <v>312</v>
      </c>
      <c r="D47" s="18" t="str">
        <f aca="false">4_Scorer_A!G47</f>
        <v/>
      </c>
      <c r="E47" s="18" t="str">
        <f aca="false">4_Scorer_B!G47</f>
        <v/>
      </c>
      <c r="F47" s="18" t="str">
        <f aca="false">4_Scorer_C!G47</f>
        <v/>
      </c>
      <c r="G47" s="18" t="str">
        <f aca="false">IF(COUNT(D47:F47)=3,AVERAGE(D47:F47),"")</f>
        <v/>
      </c>
      <c r="H47" s="18" t="str">
        <f aca="false">IF(COUNT(D47:F47)=3,MAX(D47:F47)-MIN(D47:F47),"")</f>
        <v/>
      </c>
      <c r="I47" s="18" t="str">
        <f aca="false">IF(H47="","",IF(H47&gt;1,"RECONCILE","OK"))</f>
        <v/>
      </c>
      <c r="J47" s="18" t="str">
        <f aca="false">IF(G47="","",G47)</f>
        <v/>
      </c>
    </row>
    <row r="48" customFormat="false" ht="15" hidden="false" customHeight="false" outlineLevel="0" collapsed="false">
      <c r="A48" s="18" t="s">
        <v>108</v>
      </c>
      <c r="B48" s="18" t="n">
        <v>2</v>
      </c>
      <c r="C48" s="18" t="s">
        <v>313</v>
      </c>
      <c r="D48" s="18" t="str">
        <f aca="false">4_Scorer_A!G48</f>
        <v/>
      </c>
      <c r="E48" s="18" t="str">
        <f aca="false">4_Scorer_B!G48</f>
        <v/>
      </c>
      <c r="F48" s="18" t="str">
        <f aca="false">4_Scorer_C!G48</f>
        <v/>
      </c>
      <c r="G48" s="18" t="str">
        <f aca="false">IF(COUNT(D48:F48)=3,AVERAGE(D48:F48),"")</f>
        <v/>
      </c>
      <c r="H48" s="18" t="str">
        <f aca="false">IF(COUNT(D48:F48)=3,MAX(D48:F48)-MIN(D48:F48),"")</f>
        <v/>
      </c>
      <c r="I48" s="18" t="str">
        <f aca="false">IF(H48="","",IF(H48&gt;1,"RECONCILE","OK"))</f>
        <v/>
      </c>
      <c r="J48" s="18" t="str">
        <f aca="false">IF(G48="","",G48)</f>
        <v/>
      </c>
    </row>
    <row r="49" customFormat="false" ht="15" hidden="false" customHeight="false" outlineLevel="0" collapsed="false">
      <c r="A49" s="18" t="s">
        <v>108</v>
      </c>
      <c r="B49" s="18" t="n">
        <v>2</v>
      </c>
      <c r="C49" s="18" t="s">
        <v>314</v>
      </c>
      <c r="D49" s="18" t="str">
        <f aca="false">4_Scorer_A!G49</f>
        <v/>
      </c>
      <c r="E49" s="18" t="str">
        <f aca="false">4_Scorer_B!G49</f>
        <v/>
      </c>
      <c r="F49" s="18" t="str">
        <f aca="false">4_Scorer_C!G49</f>
        <v/>
      </c>
      <c r="G49" s="18" t="str">
        <f aca="false">IF(COUNT(D49:F49)=3,AVERAGE(D49:F49),"")</f>
        <v/>
      </c>
      <c r="H49" s="18" t="str">
        <f aca="false">IF(COUNT(D49:F49)=3,MAX(D49:F49)-MIN(D49:F49),"")</f>
        <v/>
      </c>
      <c r="I49" s="18" t="str">
        <f aca="false">IF(H49="","",IF(H49&gt;1,"RECONCILE","OK"))</f>
        <v/>
      </c>
      <c r="J49" s="18" t="str">
        <f aca="false">IF(G49="","",G49)</f>
        <v/>
      </c>
    </row>
    <row r="50" customFormat="false" ht="15" hidden="false" customHeight="false" outlineLevel="0" collapsed="false">
      <c r="A50" s="18" t="s">
        <v>112</v>
      </c>
      <c r="B50" s="18" t="n">
        <v>2</v>
      </c>
      <c r="C50" s="18" t="s">
        <v>311</v>
      </c>
      <c r="D50" s="18" t="str">
        <f aca="false">4_Scorer_A!G50</f>
        <v/>
      </c>
      <c r="E50" s="18" t="str">
        <f aca="false">4_Scorer_B!G50</f>
        <v/>
      </c>
      <c r="F50" s="18" t="str">
        <f aca="false">4_Scorer_C!G50</f>
        <v/>
      </c>
      <c r="G50" s="18" t="str">
        <f aca="false">IF(COUNT(D50:F50)=3,AVERAGE(D50:F50),"")</f>
        <v/>
      </c>
      <c r="H50" s="18" t="str">
        <f aca="false">IF(COUNT(D50:F50)=3,MAX(D50:F50)-MIN(D50:F50),"")</f>
        <v/>
      </c>
      <c r="I50" s="18" t="str">
        <f aca="false">IF(H50="","",IF(H50&gt;1,"RECONCILE","OK"))</f>
        <v/>
      </c>
      <c r="J50" s="18" t="str">
        <f aca="false">IF(G50="","",G50)</f>
        <v/>
      </c>
    </row>
    <row r="51" customFormat="false" ht="15" hidden="false" customHeight="false" outlineLevel="0" collapsed="false">
      <c r="A51" s="18" t="s">
        <v>112</v>
      </c>
      <c r="B51" s="18" t="n">
        <v>2</v>
      </c>
      <c r="C51" s="18" t="s">
        <v>312</v>
      </c>
      <c r="D51" s="18" t="str">
        <f aca="false">4_Scorer_A!G51</f>
        <v/>
      </c>
      <c r="E51" s="18" t="str">
        <f aca="false">4_Scorer_B!G51</f>
        <v/>
      </c>
      <c r="F51" s="18" t="str">
        <f aca="false">4_Scorer_C!G51</f>
        <v/>
      </c>
      <c r="G51" s="18" t="str">
        <f aca="false">IF(COUNT(D51:F51)=3,AVERAGE(D51:F51),"")</f>
        <v/>
      </c>
      <c r="H51" s="18" t="str">
        <f aca="false">IF(COUNT(D51:F51)=3,MAX(D51:F51)-MIN(D51:F51),"")</f>
        <v/>
      </c>
      <c r="I51" s="18" t="str">
        <f aca="false">IF(H51="","",IF(H51&gt;1,"RECONCILE","OK"))</f>
        <v/>
      </c>
      <c r="J51" s="18" t="str">
        <f aca="false">IF(G51="","",G51)</f>
        <v/>
      </c>
    </row>
    <row r="52" customFormat="false" ht="15" hidden="false" customHeight="false" outlineLevel="0" collapsed="false">
      <c r="A52" s="18" t="s">
        <v>112</v>
      </c>
      <c r="B52" s="18" t="n">
        <v>2</v>
      </c>
      <c r="C52" s="18" t="s">
        <v>313</v>
      </c>
      <c r="D52" s="18" t="str">
        <f aca="false">4_Scorer_A!G52</f>
        <v/>
      </c>
      <c r="E52" s="18" t="str">
        <f aca="false">4_Scorer_B!G52</f>
        <v/>
      </c>
      <c r="F52" s="18" t="str">
        <f aca="false">4_Scorer_C!G52</f>
        <v/>
      </c>
      <c r="G52" s="18" t="str">
        <f aca="false">IF(COUNT(D52:F52)=3,AVERAGE(D52:F52),"")</f>
        <v/>
      </c>
      <c r="H52" s="18" t="str">
        <f aca="false">IF(COUNT(D52:F52)=3,MAX(D52:F52)-MIN(D52:F52),"")</f>
        <v/>
      </c>
      <c r="I52" s="18" t="str">
        <f aca="false">IF(H52="","",IF(H52&gt;1,"RECONCILE","OK"))</f>
        <v/>
      </c>
      <c r="J52" s="18" t="str">
        <f aca="false">IF(G52="","",G52)</f>
        <v/>
      </c>
    </row>
    <row r="53" customFormat="false" ht="15" hidden="false" customHeight="false" outlineLevel="0" collapsed="false">
      <c r="A53" s="18" t="s">
        <v>112</v>
      </c>
      <c r="B53" s="18" t="n">
        <v>2</v>
      </c>
      <c r="C53" s="18" t="s">
        <v>314</v>
      </c>
      <c r="D53" s="18" t="str">
        <f aca="false">4_Scorer_A!G53</f>
        <v/>
      </c>
      <c r="E53" s="18" t="str">
        <f aca="false">4_Scorer_B!G53</f>
        <v/>
      </c>
      <c r="F53" s="18" t="str">
        <f aca="false">4_Scorer_C!G53</f>
        <v/>
      </c>
      <c r="G53" s="18" t="str">
        <f aca="false">IF(COUNT(D53:F53)=3,AVERAGE(D53:F53),"")</f>
        <v/>
      </c>
      <c r="H53" s="18" t="str">
        <f aca="false">IF(COUNT(D53:F53)=3,MAX(D53:F53)-MIN(D53:F53),"")</f>
        <v/>
      </c>
      <c r="I53" s="18" t="str">
        <f aca="false">IF(H53="","",IF(H53&gt;1,"RECONCILE","OK"))</f>
        <v/>
      </c>
      <c r="J53" s="18" t="str">
        <f aca="false">IF(G53="","",G53)</f>
        <v/>
      </c>
    </row>
    <row r="54" customFormat="false" ht="15" hidden="false" customHeight="false" outlineLevel="0" collapsed="false">
      <c r="A54" s="18" t="s">
        <v>116</v>
      </c>
      <c r="B54" s="18" t="n">
        <v>2</v>
      </c>
      <c r="C54" s="18" t="s">
        <v>311</v>
      </c>
      <c r="D54" s="18" t="str">
        <f aca="false">4_Scorer_A!G54</f>
        <v/>
      </c>
      <c r="E54" s="18" t="str">
        <f aca="false">4_Scorer_B!G54</f>
        <v/>
      </c>
      <c r="F54" s="18" t="str">
        <f aca="false">4_Scorer_C!G54</f>
        <v/>
      </c>
      <c r="G54" s="18" t="str">
        <f aca="false">IF(COUNT(D54:F54)=3,AVERAGE(D54:F54),"")</f>
        <v/>
      </c>
      <c r="H54" s="18" t="str">
        <f aca="false">IF(COUNT(D54:F54)=3,MAX(D54:F54)-MIN(D54:F54),"")</f>
        <v/>
      </c>
      <c r="I54" s="18" t="str">
        <f aca="false">IF(H54="","",IF(H54&gt;1,"RECONCILE","OK"))</f>
        <v/>
      </c>
      <c r="J54" s="18" t="str">
        <f aca="false">IF(G54="","",G54)</f>
        <v/>
      </c>
    </row>
    <row r="55" customFormat="false" ht="15" hidden="false" customHeight="false" outlineLevel="0" collapsed="false">
      <c r="A55" s="18" t="s">
        <v>116</v>
      </c>
      <c r="B55" s="18" t="n">
        <v>2</v>
      </c>
      <c r="C55" s="18" t="s">
        <v>312</v>
      </c>
      <c r="D55" s="18" t="str">
        <f aca="false">4_Scorer_A!G55</f>
        <v/>
      </c>
      <c r="E55" s="18" t="str">
        <f aca="false">4_Scorer_B!G55</f>
        <v/>
      </c>
      <c r="F55" s="18" t="str">
        <f aca="false">4_Scorer_C!G55</f>
        <v/>
      </c>
      <c r="G55" s="18" t="str">
        <f aca="false">IF(COUNT(D55:F55)=3,AVERAGE(D55:F55),"")</f>
        <v/>
      </c>
      <c r="H55" s="18" t="str">
        <f aca="false">IF(COUNT(D55:F55)=3,MAX(D55:F55)-MIN(D55:F55),"")</f>
        <v/>
      </c>
      <c r="I55" s="18" t="str">
        <f aca="false">IF(H55="","",IF(H55&gt;1,"RECONCILE","OK"))</f>
        <v/>
      </c>
      <c r="J55" s="18" t="str">
        <f aca="false">IF(G55="","",G55)</f>
        <v/>
      </c>
    </row>
    <row r="56" customFormat="false" ht="15" hidden="false" customHeight="false" outlineLevel="0" collapsed="false">
      <c r="A56" s="18" t="s">
        <v>116</v>
      </c>
      <c r="B56" s="18" t="n">
        <v>2</v>
      </c>
      <c r="C56" s="18" t="s">
        <v>313</v>
      </c>
      <c r="D56" s="18" t="str">
        <f aca="false">4_Scorer_A!G56</f>
        <v/>
      </c>
      <c r="E56" s="18" t="str">
        <f aca="false">4_Scorer_B!G56</f>
        <v/>
      </c>
      <c r="F56" s="18" t="str">
        <f aca="false">4_Scorer_C!G56</f>
        <v/>
      </c>
      <c r="G56" s="18" t="str">
        <f aca="false">IF(COUNT(D56:F56)=3,AVERAGE(D56:F56),"")</f>
        <v/>
      </c>
      <c r="H56" s="18" t="str">
        <f aca="false">IF(COUNT(D56:F56)=3,MAX(D56:F56)-MIN(D56:F56),"")</f>
        <v/>
      </c>
      <c r="I56" s="18" t="str">
        <f aca="false">IF(H56="","",IF(H56&gt;1,"RECONCILE","OK"))</f>
        <v/>
      </c>
      <c r="J56" s="18" t="str">
        <f aca="false">IF(G56="","",G56)</f>
        <v/>
      </c>
    </row>
    <row r="57" customFormat="false" ht="15" hidden="false" customHeight="false" outlineLevel="0" collapsed="false">
      <c r="A57" s="18" t="s">
        <v>116</v>
      </c>
      <c r="B57" s="18" t="n">
        <v>2</v>
      </c>
      <c r="C57" s="18" t="s">
        <v>314</v>
      </c>
      <c r="D57" s="18" t="str">
        <f aca="false">4_Scorer_A!G57</f>
        <v/>
      </c>
      <c r="E57" s="18" t="str">
        <f aca="false">4_Scorer_B!G57</f>
        <v/>
      </c>
      <c r="F57" s="18" t="str">
        <f aca="false">4_Scorer_C!G57</f>
        <v/>
      </c>
      <c r="G57" s="18" t="str">
        <f aca="false">IF(COUNT(D57:F57)=3,AVERAGE(D57:F57),"")</f>
        <v/>
      </c>
      <c r="H57" s="18" t="str">
        <f aca="false">IF(COUNT(D57:F57)=3,MAX(D57:F57)-MIN(D57:F57),"")</f>
        <v/>
      </c>
      <c r="I57" s="18" t="str">
        <f aca="false">IF(H57="","",IF(H57&gt;1,"RECONCILE","OK"))</f>
        <v/>
      </c>
      <c r="J57" s="18" t="str">
        <f aca="false">IF(G57="","",G57)</f>
        <v/>
      </c>
    </row>
    <row r="58" customFormat="false" ht="15" hidden="false" customHeight="false" outlineLevel="0" collapsed="false">
      <c r="A58" s="18" t="s">
        <v>121</v>
      </c>
      <c r="B58" s="18" t="n">
        <v>2</v>
      </c>
      <c r="C58" s="18" t="s">
        <v>311</v>
      </c>
      <c r="D58" s="18" t="str">
        <f aca="false">4_Scorer_A!G58</f>
        <v/>
      </c>
      <c r="E58" s="18" t="str">
        <f aca="false">4_Scorer_B!G58</f>
        <v/>
      </c>
      <c r="F58" s="18" t="str">
        <f aca="false">4_Scorer_C!G58</f>
        <v/>
      </c>
      <c r="G58" s="18" t="str">
        <f aca="false">IF(COUNT(D58:F58)=3,AVERAGE(D58:F58),"")</f>
        <v/>
      </c>
      <c r="H58" s="18" t="str">
        <f aca="false">IF(COUNT(D58:F58)=3,MAX(D58:F58)-MIN(D58:F58),"")</f>
        <v/>
      </c>
      <c r="I58" s="18" t="str">
        <f aca="false">IF(H58="","",IF(H58&gt;1,"RECONCILE","OK"))</f>
        <v/>
      </c>
      <c r="J58" s="18" t="str">
        <f aca="false">IF(G58="","",G58)</f>
        <v/>
      </c>
    </row>
    <row r="59" customFormat="false" ht="15" hidden="false" customHeight="false" outlineLevel="0" collapsed="false">
      <c r="A59" s="18" t="s">
        <v>121</v>
      </c>
      <c r="B59" s="18" t="n">
        <v>2</v>
      </c>
      <c r="C59" s="18" t="s">
        <v>312</v>
      </c>
      <c r="D59" s="18" t="str">
        <f aca="false">4_Scorer_A!G59</f>
        <v/>
      </c>
      <c r="E59" s="18" t="str">
        <f aca="false">4_Scorer_B!G59</f>
        <v/>
      </c>
      <c r="F59" s="18" t="str">
        <f aca="false">4_Scorer_C!G59</f>
        <v/>
      </c>
      <c r="G59" s="18" t="str">
        <f aca="false">IF(COUNT(D59:F59)=3,AVERAGE(D59:F59),"")</f>
        <v/>
      </c>
      <c r="H59" s="18" t="str">
        <f aca="false">IF(COUNT(D59:F59)=3,MAX(D59:F59)-MIN(D59:F59),"")</f>
        <v/>
      </c>
      <c r="I59" s="18" t="str">
        <f aca="false">IF(H59="","",IF(H59&gt;1,"RECONCILE","OK"))</f>
        <v/>
      </c>
      <c r="J59" s="18" t="str">
        <f aca="false">IF(G59="","",G59)</f>
        <v/>
      </c>
    </row>
    <row r="60" customFormat="false" ht="15" hidden="false" customHeight="false" outlineLevel="0" collapsed="false">
      <c r="A60" s="18" t="s">
        <v>121</v>
      </c>
      <c r="B60" s="18" t="n">
        <v>2</v>
      </c>
      <c r="C60" s="18" t="s">
        <v>313</v>
      </c>
      <c r="D60" s="18" t="str">
        <f aca="false">4_Scorer_A!G60</f>
        <v/>
      </c>
      <c r="E60" s="18" t="str">
        <f aca="false">4_Scorer_B!G60</f>
        <v/>
      </c>
      <c r="F60" s="18" t="str">
        <f aca="false">4_Scorer_C!G60</f>
        <v/>
      </c>
      <c r="G60" s="18" t="str">
        <f aca="false">IF(COUNT(D60:F60)=3,AVERAGE(D60:F60),"")</f>
        <v/>
      </c>
      <c r="H60" s="18" t="str">
        <f aca="false">IF(COUNT(D60:F60)=3,MAX(D60:F60)-MIN(D60:F60),"")</f>
        <v/>
      </c>
      <c r="I60" s="18" t="str">
        <f aca="false">IF(H60="","",IF(H60&gt;1,"RECONCILE","OK"))</f>
        <v/>
      </c>
      <c r="J60" s="18" t="str">
        <f aca="false">IF(G60="","",G60)</f>
        <v/>
      </c>
    </row>
    <row r="61" customFormat="false" ht="15" hidden="false" customHeight="false" outlineLevel="0" collapsed="false">
      <c r="A61" s="18" t="s">
        <v>121</v>
      </c>
      <c r="B61" s="18" t="n">
        <v>2</v>
      </c>
      <c r="C61" s="18" t="s">
        <v>314</v>
      </c>
      <c r="D61" s="18" t="str">
        <f aca="false">4_Scorer_A!G61</f>
        <v/>
      </c>
      <c r="E61" s="18" t="str">
        <f aca="false">4_Scorer_B!G61</f>
        <v/>
      </c>
      <c r="F61" s="18" t="str">
        <f aca="false">4_Scorer_C!G61</f>
        <v/>
      </c>
      <c r="G61" s="18" t="str">
        <f aca="false">IF(COUNT(D61:F61)=3,AVERAGE(D61:F61),"")</f>
        <v/>
      </c>
      <c r="H61" s="18" t="str">
        <f aca="false">IF(COUNT(D61:F61)=3,MAX(D61:F61)-MIN(D61:F61),"")</f>
        <v/>
      </c>
      <c r="I61" s="18" t="str">
        <f aca="false">IF(H61="","",IF(H61&gt;1,"RECONCILE","OK"))</f>
        <v/>
      </c>
      <c r="J61" s="18" t="str">
        <f aca="false">IF(G61="","",G61)</f>
        <v/>
      </c>
    </row>
    <row r="62" customFormat="false" ht="15" hidden="false" customHeight="false" outlineLevel="0" collapsed="false">
      <c r="A62" s="18" t="s">
        <v>125</v>
      </c>
      <c r="B62" s="18" t="n">
        <v>2</v>
      </c>
      <c r="C62" s="18" t="s">
        <v>311</v>
      </c>
      <c r="D62" s="18" t="str">
        <f aca="false">4_Scorer_A!G62</f>
        <v/>
      </c>
      <c r="E62" s="18" t="str">
        <f aca="false">4_Scorer_B!G62</f>
        <v/>
      </c>
      <c r="F62" s="18" t="str">
        <f aca="false">4_Scorer_C!G62</f>
        <v/>
      </c>
      <c r="G62" s="18" t="str">
        <f aca="false">IF(COUNT(D62:F62)=3,AVERAGE(D62:F62),"")</f>
        <v/>
      </c>
      <c r="H62" s="18" t="str">
        <f aca="false">IF(COUNT(D62:F62)=3,MAX(D62:F62)-MIN(D62:F62),"")</f>
        <v/>
      </c>
      <c r="I62" s="18" t="str">
        <f aca="false">IF(H62="","",IF(H62&gt;1,"RECONCILE","OK"))</f>
        <v/>
      </c>
      <c r="J62" s="18" t="str">
        <f aca="false">IF(G62="","",G62)</f>
        <v/>
      </c>
    </row>
    <row r="63" customFormat="false" ht="15" hidden="false" customHeight="false" outlineLevel="0" collapsed="false">
      <c r="A63" s="18" t="s">
        <v>125</v>
      </c>
      <c r="B63" s="18" t="n">
        <v>2</v>
      </c>
      <c r="C63" s="18" t="s">
        <v>312</v>
      </c>
      <c r="D63" s="18" t="str">
        <f aca="false">4_Scorer_A!G63</f>
        <v/>
      </c>
      <c r="E63" s="18" t="str">
        <f aca="false">4_Scorer_B!G63</f>
        <v/>
      </c>
      <c r="F63" s="18" t="str">
        <f aca="false">4_Scorer_C!G63</f>
        <v/>
      </c>
      <c r="G63" s="18" t="str">
        <f aca="false">IF(COUNT(D63:F63)=3,AVERAGE(D63:F63),"")</f>
        <v/>
      </c>
      <c r="H63" s="18" t="str">
        <f aca="false">IF(COUNT(D63:F63)=3,MAX(D63:F63)-MIN(D63:F63),"")</f>
        <v/>
      </c>
      <c r="I63" s="18" t="str">
        <f aca="false">IF(H63="","",IF(H63&gt;1,"RECONCILE","OK"))</f>
        <v/>
      </c>
      <c r="J63" s="18" t="str">
        <f aca="false">IF(G63="","",G63)</f>
        <v/>
      </c>
    </row>
    <row r="64" customFormat="false" ht="15" hidden="false" customHeight="false" outlineLevel="0" collapsed="false">
      <c r="A64" s="18" t="s">
        <v>125</v>
      </c>
      <c r="B64" s="18" t="n">
        <v>2</v>
      </c>
      <c r="C64" s="18" t="s">
        <v>313</v>
      </c>
      <c r="D64" s="18" t="str">
        <f aca="false">4_Scorer_A!G64</f>
        <v/>
      </c>
      <c r="E64" s="18" t="str">
        <f aca="false">4_Scorer_B!G64</f>
        <v/>
      </c>
      <c r="F64" s="18" t="str">
        <f aca="false">4_Scorer_C!G64</f>
        <v/>
      </c>
      <c r="G64" s="18" t="str">
        <f aca="false">IF(COUNT(D64:F64)=3,AVERAGE(D64:F64),"")</f>
        <v/>
      </c>
      <c r="H64" s="18" t="str">
        <f aca="false">IF(COUNT(D64:F64)=3,MAX(D64:F64)-MIN(D64:F64),"")</f>
        <v/>
      </c>
      <c r="I64" s="18" t="str">
        <f aca="false">IF(H64="","",IF(H64&gt;1,"RECONCILE","OK"))</f>
        <v/>
      </c>
      <c r="J64" s="18" t="str">
        <f aca="false">IF(G64="","",G64)</f>
        <v/>
      </c>
    </row>
    <row r="65" customFormat="false" ht="15" hidden="false" customHeight="false" outlineLevel="0" collapsed="false">
      <c r="A65" s="18" t="s">
        <v>125</v>
      </c>
      <c r="B65" s="18" t="n">
        <v>2</v>
      </c>
      <c r="C65" s="18" t="s">
        <v>314</v>
      </c>
      <c r="D65" s="18" t="str">
        <f aca="false">4_Scorer_A!G65</f>
        <v/>
      </c>
      <c r="E65" s="18" t="str">
        <f aca="false">4_Scorer_B!G65</f>
        <v/>
      </c>
      <c r="F65" s="18" t="str">
        <f aca="false">4_Scorer_C!G65</f>
        <v/>
      </c>
      <c r="G65" s="18" t="str">
        <f aca="false">IF(COUNT(D65:F65)=3,AVERAGE(D65:F65),"")</f>
        <v/>
      </c>
      <c r="H65" s="18" t="str">
        <f aca="false">IF(COUNT(D65:F65)=3,MAX(D65:F65)-MIN(D65:F65),"")</f>
        <v/>
      </c>
      <c r="I65" s="18" t="str">
        <f aca="false">IF(H65="","",IF(H65&gt;1,"RECONCILE","OK"))</f>
        <v/>
      </c>
      <c r="J65" s="18" t="str">
        <f aca="false">IF(G65="","",G65)</f>
        <v/>
      </c>
    </row>
    <row r="66" customFormat="false" ht="15" hidden="false" customHeight="false" outlineLevel="0" collapsed="false">
      <c r="A66" s="18" t="s">
        <v>129</v>
      </c>
      <c r="B66" s="18" t="n">
        <v>2</v>
      </c>
      <c r="C66" s="18" t="s">
        <v>311</v>
      </c>
      <c r="D66" s="18" t="str">
        <f aca="false">4_Scorer_A!G66</f>
        <v/>
      </c>
      <c r="E66" s="18" t="str">
        <f aca="false">4_Scorer_B!G66</f>
        <v/>
      </c>
      <c r="F66" s="18" t="str">
        <f aca="false">4_Scorer_C!G66</f>
        <v/>
      </c>
      <c r="G66" s="18" t="str">
        <f aca="false">IF(COUNT(D66:F66)=3,AVERAGE(D66:F66),"")</f>
        <v/>
      </c>
      <c r="H66" s="18" t="str">
        <f aca="false">IF(COUNT(D66:F66)=3,MAX(D66:F66)-MIN(D66:F66),"")</f>
        <v/>
      </c>
      <c r="I66" s="18" t="str">
        <f aca="false">IF(H66="","",IF(H66&gt;1,"RECONCILE","OK"))</f>
        <v/>
      </c>
      <c r="J66" s="18" t="str">
        <f aca="false">IF(G66="","",G66)</f>
        <v/>
      </c>
    </row>
    <row r="67" customFormat="false" ht="15" hidden="false" customHeight="false" outlineLevel="0" collapsed="false">
      <c r="A67" s="18" t="s">
        <v>129</v>
      </c>
      <c r="B67" s="18" t="n">
        <v>2</v>
      </c>
      <c r="C67" s="18" t="s">
        <v>312</v>
      </c>
      <c r="D67" s="18" t="str">
        <f aca="false">4_Scorer_A!G67</f>
        <v/>
      </c>
      <c r="E67" s="18" t="str">
        <f aca="false">4_Scorer_B!G67</f>
        <v/>
      </c>
      <c r="F67" s="18" t="str">
        <f aca="false">4_Scorer_C!G67</f>
        <v/>
      </c>
      <c r="G67" s="18" t="str">
        <f aca="false">IF(COUNT(D67:F67)=3,AVERAGE(D67:F67),"")</f>
        <v/>
      </c>
      <c r="H67" s="18" t="str">
        <f aca="false">IF(COUNT(D67:F67)=3,MAX(D67:F67)-MIN(D67:F67),"")</f>
        <v/>
      </c>
      <c r="I67" s="18" t="str">
        <f aca="false">IF(H67="","",IF(H67&gt;1,"RECONCILE","OK"))</f>
        <v/>
      </c>
      <c r="J67" s="18" t="str">
        <f aca="false">IF(G67="","",G67)</f>
        <v/>
      </c>
    </row>
    <row r="68" customFormat="false" ht="15" hidden="false" customHeight="false" outlineLevel="0" collapsed="false">
      <c r="A68" s="18" t="s">
        <v>129</v>
      </c>
      <c r="B68" s="18" t="n">
        <v>2</v>
      </c>
      <c r="C68" s="18" t="s">
        <v>313</v>
      </c>
      <c r="D68" s="18" t="str">
        <f aca="false">4_Scorer_A!G68</f>
        <v/>
      </c>
      <c r="E68" s="18" t="str">
        <f aca="false">4_Scorer_B!G68</f>
        <v/>
      </c>
      <c r="F68" s="18" t="str">
        <f aca="false">4_Scorer_C!G68</f>
        <v/>
      </c>
      <c r="G68" s="18" t="str">
        <f aca="false">IF(COUNT(D68:F68)=3,AVERAGE(D68:F68),"")</f>
        <v/>
      </c>
      <c r="H68" s="18" t="str">
        <f aca="false">IF(COUNT(D68:F68)=3,MAX(D68:F68)-MIN(D68:F68),"")</f>
        <v/>
      </c>
      <c r="I68" s="18" t="str">
        <f aca="false">IF(H68="","",IF(H68&gt;1,"RECONCILE","OK"))</f>
        <v/>
      </c>
      <c r="J68" s="18" t="str">
        <f aca="false">IF(G68="","",G68)</f>
        <v/>
      </c>
    </row>
    <row r="69" customFormat="false" ht="15" hidden="false" customHeight="false" outlineLevel="0" collapsed="false">
      <c r="A69" s="18" t="s">
        <v>129</v>
      </c>
      <c r="B69" s="18" t="n">
        <v>2</v>
      </c>
      <c r="C69" s="18" t="s">
        <v>314</v>
      </c>
      <c r="D69" s="18" t="str">
        <f aca="false">4_Scorer_A!G69</f>
        <v/>
      </c>
      <c r="E69" s="18" t="str">
        <f aca="false">4_Scorer_B!G69</f>
        <v/>
      </c>
      <c r="F69" s="18" t="str">
        <f aca="false">4_Scorer_C!G69</f>
        <v/>
      </c>
      <c r="G69" s="18" t="str">
        <f aca="false">IF(COUNT(D69:F69)=3,AVERAGE(D69:F69),"")</f>
        <v/>
      </c>
      <c r="H69" s="18" t="str">
        <f aca="false">IF(COUNT(D69:F69)=3,MAX(D69:F69)-MIN(D69:F69),"")</f>
        <v/>
      </c>
      <c r="I69" s="18" t="str">
        <f aca="false">IF(H69="","",IF(H69&gt;1,"RECONCILE","OK"))</f>
        <v/>
      </c>
      <c r="J69" s="18" t="str">
        <f aca="false">IF(G69="","",G69)</f>
        <v/>
      </c>
    </row>
    <row r="70" customFormat="false" ht="15" hidden="false" customHeight="false" outlineLevel="0" collapsed="false">
      <c r="A70" s="18" t="s">
        <v>133</v>
      </c>
      <c r="B70" s="18" t="n">
        <v>2</v>
      </c>
      <c r="C70" s="18" t="s">
        <v>311</v>
      </c>
      <c r="D70" s="18" t="str">
        <f aca="false">4_Scorer_A!G70</f>
        <v/>
      </c>
      <c r="E70" s="18" t="str">
        <f aca="false">4_Scorer_B!G70</f>
        <v/>
      </c>
      <c r="F70" s="18" t="str">
        <f aca="false">4_Scorer_C!G70</f>
        <v/>
      </c>
      <c r="G70" s="18" t="str">
        <f aca="false">IF(COUNT(D70:F70)=3,AVERAGE(D70:F70),"")</f>
        <v/>
      </c>
      <c r="H70" s="18" t="str">
        <f aca="false">IF(COUNT(D70:F70)=3,MAX(D70:F70)-MIN(D70:F70),"")</f>
        <v/>
      </c>
      <c r="I70" s="18" t="str">
        <f aca="false">IF(H70="","",IF(H70&gt;1,"RECONCILE","OK"))</f>
        <v/>
      </c>
      <c r="J70" s="18" t="str">
        <f aca="false">IF(G70="","",G70)</f>
        <v/>
      </c>
    </row>
    <row r="71" customFormat="false" ht="15" hidden="false" customHeight="false" outlineLevel="0" collapsed="false">
      <c r="A71" s="18" t="s">
        <v>133</v>
      </c>
      <c r="B71" s="18" t="n">
        <v>2</v>
      </c>
      <c r="C71" s="18" t="s">
        <v>312</v>
      </c>
      <c r="D71" s="18" t="str">
        <f aca="false">4_Scorer_A!G71</f>
        <v/>
      </c>
      <c r="E71" s="18" t="str">
        <f aca="false">4_Scorer_B!G71</f>
        <v/>
      </c>
      <c r="F71" s="18" t="str">
        <f aca="false">4_Scorer_C!G71</f>
        <v/>
      </c>
      <c r="G71" s="18" t="str">
        <f aca="false">IF(COUNT(D71:F71)=3,AVERAGE(D71:F71),"")</f>
        <v/>
      </c>
      <c r="H71" s="18" t="str">
        <f aca="false">IF(COUNT(D71:F71)=3,MAX(D71:F71)-MIN(D71:F71),"")</f>
        <v/>
      </c>
      <c r="I71" s="18" t="str">
        <f aca="false">IF(H71="","",IF(H71&gt;1,"RECONCILE","OK"))</f>
        <v/>
      </c>
      <c r="J71" s="18" t="str">
        <f aca="false">IF(G71="","",G71)</f>
        <v/>
      </c>
    </row>
    <row r="72" customFormat="false" ht="15" hidden="false" customHeight="false" outlineLevel="0" collapsed="false">
      <c r="A72" s="18" t="s">
        <v>133</v>
      </c>
      <c r="B72" s="18" t="n">
        <v>2</v>
      </c>
      <c r="C72" s="18" t="s">
        <v>313</v>
      </c>
      <c r="D72" s="18" t="str">
        <f aca="false">4_Scorer_A!G72</f>
        <v/>
      </c>
      <c r="E72" s="18" t="str">
        <f aca="false">4_Scorer_B!G72</f>
        <v/>
      </c>
      <c r="F72" s="18" t="str">
        <f aca="false">4_Scorer_C!G72</f>
        <v/>
      </c>
      <c r="G72" s="18" t="str">
        <f aca="false">IF(COUNT(D72:F72)=3,AVERAGE(D72:F72),"")</f>
        <v/>
      </c>
      <c r="H72" s="18" t="str">
        <f aca="false">IF(COUNT(D72:F72)=3,MAX(D72:F72)-MIN(D72:F72),"")</f>
        <v/>
      </c>
      <c r="I72" s="18" t="str">
        <f aca="false">IF(H72="","",IF(H72&gt;1,"RECONCILE","OK"))</f>
        <v/>
      </c>
      <c r="J72" s="18" t="str">
        <f aca="false">IF(G72="","",G72)</f>
        <v/>
      </c>
    </row>
    <row r="73" customFormat="false" ht="15" hidden="false" customHeight="false" outlineLevel="0" collapsed="false">
      <c r="A73" s="18" t="s">
        <v>133</v>
      </c>
      <c r="B73" s="18" t="n">
        <v>2</v>
      </c>
      <c r="C73" s="18" t="s">
        <v>314</v>
      </c>
      <c r="D73" s="18" t="str">
        <f aca="false">4_Scorer_A!G73</f>
        <v/>
      </c>
      <c r="E73" s="18" t="str">
        <f aca="false">4_Scorer_B!G73</f>
        <v/>
      </c>
      <c r="F73" s="18" t="str">
        <f aca="false">4_Scorer_C!G73</f>
        <v/>
      </c>
      <c r="G73" s="18" t="str">
        <f aca="false">IF(COUNT(D73:F73)=3,AVERAGE(D73:F73),"")</f>
        <v/>
      </c>
      <c r="H73" s="18" t="str">
        <f aca="false">IF(COUNT(D73:F73)=3,MAX(D73:F73)-MIN(D73:F73),"")</f>
        <v/>
      </c>
      <c r="I73" s="18" t="str">
        <f aca="false">IF(H73="","",IF(H73&gt;1,"RECONCILE","OK"))</f>
        <v/>
      </c>
      <c r="J73" s="18" t="str">
        <f aca="false">IF(G73="","",G73)</f>
        <v/>
      </c>
    </row>
    <row r="74" customFormat="false" ht="15" hidden="false" customHeight="false" outlineLevel="0" collapsed="false">
      <c r="A74" s="18" t="s">
        <v>137</v>
      </c>
      <c r="B74" s="18" t="n">
        <v>2</v>
      </c>
      <c r="C74" s="18" t="s">
        <v>311</v>
      </c>
      <c r="D74" s="18" t="str">
        <f aca="false">4_Scorer_A!G74</f>
        <v/>
      </c>
      <c r="E74" s="18" t="str">
        <f aca="false">4_Scorer_B!G74</f>
        <v/>
      </c>
      <c r="F74" s="18" t="str">
        <f aca="false">4_Scorer_C!G74</f>
        <v/>
      </c>
      <c r="G74" s="18" t="str">
        <f aca="false">IF(COUNT(D74:F74)=3,AVERAGE(D74:F74),"")</f>
        <v/>
      </c>
      <c r="H74" s="18" t="str">
        <f aca="false">IF(COUNT(D74:F74)=3,MAX(D74:F74)-MIN(D74:F74),"")</f>
        <v/>
      </c>
      <c r="I74" s="18" t="str">
        <f aca="false">IF(H74="","",IF(H74&gt;1,"RECONCILE","OK"))</f>
        <v/>
      </c>
      <c r="J74" s="18" t="str">
        <f aca="false">IF(G74="","",G74)</f>
        <v/>
      </c>
    </row>
    <row r="75" customFormat="false" ht="15" hidden="false" customHeight="false" outlineLevel="0" collapsed="false">
      <c r="A75" s="18" t="s">
        <v>137</v>
      </c>
      <c r="B75" s="18" t="n">
        <v>2</v>
      </c>
      <c r="C75" s="18" t="s">
        <v>312</v>
      </c>
      <c r="D75" s="18" t="str">
        <f aca="false">4_Scorer_A!G75</f>
        <v/>
      </c>
      <c r="E75" s="18" t="str">
        <f aca="false">4_Scorer_B!G75</f>
        <v/>
      </c>
      <c r="F75" s="18" t="str">
        <f aca="false">4_Scorer_C!G75</f>
        <v/>
      </c>
      <c r="G75" s="18" t="str">
        <f aca="false">IF(COUNT(D75:F75)=3,AVERAGE(D75:F75),"")</f>
        <v/>
      </c>
      <c r="H75" s="18" t="str">
        <f aca="false">IF(COUNT(D75:F75)=3,MAX(D75:F75)-MIN(D75:F75),"")</f>
        <v/>
      </c>
      <c r="I75" s="18" t="str">
        <f aca="false">IF(H75="","",IF(H75&gt;1,"RECONCILE","OK"))</f>
        <v/>
      </c>
      <c r="J75" s="18" t="str">
        <f aca="false">IF(G75="","",G75)</f>
        <v/>
      </c>
    </row>
    <row r="76" customFormat="false" ht="15" hidden="false" customHeight="false" outlineLevel="0" collapsed="false">
      <c r="A76" s="18" t="s">
        <v>137</v>
      </c>
      <c r="B76" s="18" t="n">
        <v>2</v>
      </c>
      <c r="C76" s="18" t="s">
        <v>313</v>
      </c>
      <c r="D76" s="18" t="str">
        <f aca="false">4_Scorer_A!G76</f>
        <v/>
      </c>
      <c r="E76" s="18" t="str">
        <f aca="false">4_Scorer_B!G76</f>
        <v/>
      </c>
      <c r="F76" s="18" t="str">
        <f aca="false">4_Scorer_C!G76</f>
        <v/>
      </c>
      <c r="G76" s="18" t="str">
        <f aca="false">IF(COUNT(D76:F76)=3,AVERAGE(D76:F76),"")</f>
        <v/>
      </c>
      <c r="H76" s="18" t="str">
        <f aca="false">IF(COUNT(D76:F76)=3,MAX(D76:F76)-MIN(D76:F76),"")</f>
        <v/>
      </c>
      <c r="I76" s="18" t="str">
        <f aca="false">IF(H76="","",IF(H76&gt;1,"RECONCILE","OK"))</f>
        <v/>
      </c>
      <c r="J76" s="18" t="str">
        <f aca="false">IF(G76="","",G76)</f>
        <v/>
      </c>
    </row>
    <row r="77" customFormat="false" ht="15" hidden="false" customHeight="false" outlineLevel="0" collapsed="false">
      <c r="A77" s="18" t="s">
        <v>137</v>
      </c>
      <c r="B77" s="18" t="n">
        <v>2</v>
      </c>
      <c r="C77" s="18" t="s">
        <v>314</v>
      </c>
      <c r="D77" s="18" t="str">
        <f aca="false">4_Scorer_A!G77</f>
        <v/>
      </c>
      <c r="E77" s="18" t="str">
        <f aca="false">4_Scorer_B!G77</f>
        <v/>
      </c>
      <c r="F77" s="18" t="str">
        <f aca="false">4_Scorer_C!G77</f>
        <v/>
      </c>
      <c r="G77" s="18" t="str">
        <f aca="false">IF(COUNT(D77:F77)=3,AVERAGE(D77:F77),"")</f>
        <v/>
      </c>
      <c r="H77" s="18" t="str">
        <f aca="false">IF(COUNT(D77:F77)=3,MAX(D77:F77)-MIN(D77:F77),"")</f>
        <v/>
      </c>
      <c r="I77" s="18" t="str">
        <f aca="false">IF(H77="","",IF(H77&gt;1,"RECONCILE","OK"))</f>
        <v/>
      </c>
      <c r="J77" s="18" t="str">
        <f aca="false">IF(G77="","",G77)</f>
        <v/>
      </c>
    </row>
    <row r="78" customFormat="false" ht="15" hidden="false" customHeight="false" outlineLevel="0" collapsed="false">
      <c r="A78" s="18" t="s">
        <v>141</v>
      </c>
      <c r="B78" s="18" t="n">
        <v>2</v>
      </c>
      <c r="C78" s="18" t="s">
        <v>311</v>
      </c>
      <c r="D78" s="18" t="str">
        <f aca="false">4_Scorer_A!G78</f>
        <v/>
      </c>
      <c r="E78" s="18" t="str">
        <f aca="false">4_Scorer_B!G78</f>
        <v/>
      </c>
      <c r="F78" s="18" t="str">
        <f aca="false">4_Scorer_C!G78</f>
        <v/>
      </c>
      <c r="G78" s="18" t="str">
        <f aca="false">IF(COUNT(D78:F78)=3,AVERAGE(D78:F78),"")</f>
        <v/>
      </c>
      <c r="H78" s="18" t="str">
        <f aca="false">IF(COUNT(D78:F78)=3,MAX(D78:F78)-MIN(D78:F78),"")</f>
        <v/>
      </c>
      <c r="I78" s="18" t="str">
        <f aca="false">IF(H78="","",IF(H78&gt;1,"RECONCILE","OK"))</f>
        <v/>
      </c>
      <c r="J78" s="18" t="str">
        <f aca="false">IF(G78="","",G78)</f>
        <v/>
      </c>
    </row>
    <row r="79" customFormat="false" ht="15" hidden="false" customHeight="false" outlineLevel="0" collapsed="false">
      <c r="A79" s="18" t="s">
        <v>141</v>
      </c>
      <c r="B79" s="18" t="n">
        <v>2</v>
      </c>
      <c r="C79" s="18" t="s">
        <v>312</v>
      </c>
      <c r="D79" s="18" t="str">
        <f aca="false">4_Scorer_A!G79</f>
        <v/>
      </c>
      <c r="E79" s="18" t="str">
        <f aca="false">4_Scorer_B!G79</f>
        <v/>
      </c>
      <c r="F79" s="18" t="str">
        <f aca="false">4_Scorer_C!G79</f>
        <v/>
      </c>
      <c r="G79" s="18" t="str">
        <f aca="false">IF(COUNT(D79:F79)=3,AVERAGE(D79:F79),"")</f>
        <v/>
      </c>
      <c r="H79" s="18" t="str">
        <f aca="false">IF(COUNT(D79:F79)=3,MAX(D79:F79)-MIN(D79:F79),"")</f>
        <v/>
      </c>
      <c r="I79" s="18" t="str">
        <f aca="false">IF(H79="","",IF(H79&gt;1,"RECONCILE","OK"))</f>
        <v/>
      </c>
      <c r="J79" s="18" t="str">
        <f aca="false">IF(G79="","",G79)</f>
        <v/>
      </c>
    </row>
    <row r="80" customFormat="false" ht="15" hidden="false" customHeight="false" outlineLevel="0" collapsed="false">
      <c r="A80" s="18" t="s">
        <v>141</v>
      </c>
      <c r="B80" s="18" t="n">
        <v>2</v>
      </c>
      <c r="C80" s="18" t="s">
        <v>313</v>
      </c>
      <c r="D80" s="18" t="str">
        <f aca="false">4_Scorer_A!G80</f>
        <v/>
      </c>
      <c r="E80" s="18" t="str">
        <f aca="false">4_Scorer_B!G80</f>
        <v/>
      </c>
      <c r="F80" s="18" t="str">
        <f aca="false">4_Scorer_C!G80</f>
        <v/>
      </c>
      <c r="G80" s="18" t="str">
        <f aca="false">IF(COUNT(D80:F80)=3,AVERAGE(D80:F80),"")</f>
        <v/>
      </c>
      <c r="H80" s="18" t="str">
        <f aca="false">IF(COUNT(D80:F80)=3,MAX(D80:F80)-MIN(D80:F80),"")</f>
        <v/>
      </c>
      <c r="I80" s="18" t="str">
        <f aca="false">IF(H80="","",IF(H80&gt;1,"RECONCILE","OK"))</f>
        <v/>
      </c>
      <c r="J80" s="18" t="str">
        <f aca="false">IF(G80="","",G80)</f>
        <v/>
      </c>
    </row>
    <row r="81" customFormat="false" ht="15" hidden="false" customHeight="false" outlineLevel="0" collapsed="false">
      <c r="A81" s="18" t="s">
        <v>141</v>
      </c>
      <c r="B81" s="18" t="n">
        <v>2</v>
      </c>
      <c r="C81" s="18" t="s">
        <v>314</v>
      </c>
      <c r="D81" s="18" t="str">
        <f aca="false">4_Scorer_A!G81</f>
        <v/>
      </c>
      <c r="E81" s="18" t="str">
        <f aca="false">4_Scorer_B!G81</f>
        <v/>
      </c>
      <c r="F81" s="18" t="str">
        <f aca="false">4_Scorer_C!G81</f>
        <v/>
      </c>
      <c r="G81" s="18" t="str">
        <f aca="false">IF(COUNT(D81:F81)=3,AVERAGE(D81:F81),"")</f>
        <v/>
      </c>
      <c r="H81" s="18" t="str">
        <f aca="false">IF(COUNT(D81:F81)=3,MAX(D81:F81)-MIN(D81:F81),"")</f>
        <v/>
      </c>
      <c r="I81" s="18" t="str">
        <f aca="false">IF(H81="","",IF(H81&gt;1,"RECONCILE","OK"))</f>
        <v/>
      </c>
      <c r="J81" s="18" t="str">
        <f aca="false">IF(G81="","",G81)</f>
        <v/>
      </c>
    </row>
    <row r="82" customFormat="false" ht="15" hidden="false" customHeight="false" outlineLevel="0" collapsed="false">
      <c r="A82" s="18" t="s">
        <v>145</v>
      </c>
      <c r="B82" s="18" t="n">
        <v>3</v>
      </c>
      <c r="C82" s="18" t="s">
        <v>311</v>
      </c>
      <c r="D82" s="18" t="str">
        <f aca="false">4_Scorer_A!G82</f>
        <v/>
      </c>
      <c r="E82" s="18" t="str">
        <f aca="false">4_Scorer_B!G82</f>
        <v/>
      </c>
      <c r="F82" s="18" t="str">
        <f aca="false">4_Scorer_C!G82</f>
        <v/>
      </c>
      <c r="G82" s="18" t="str">
        <f aca="false">IF(COUNT(D82:F82)=3,AVERAGE(D82:F82),"")</f>
        <v/>
      </c>
      <c r="H82" s="18" t="str">
        <f aca="false">IF(COUNT(D82:F82)=3,MAX(D82:F82)-MIN(D82:F82),"")</f>
        <v/>
      </c>
      <c r="I82" s="18" t="str">
        <f aca="false">IF(H82="","",IF(H82&gt;1,"RECONCILE","OK"))</f>
        <v/>
      </c>
      <c r="J82" s="18" t="str">
        <f aca="false">IF(G82="","",G82)</f>
        <v/>
      </c>
    </row>
    <row r="83" customFormat="false" ht="15" hidden="false" customHeight="false" outlineLevel="0" collapsed="false">
      <c r="A83" s="18" t="s">
        <v>145</v>
      </c>
      <c r="B83" s="18" t="n">
        <v>3</v>
      </c>
      <c r="C83" s="18" t="s">
        <v>312</v>
      </c>
      <c r="D83" s="18" t="str">
        <f aca="false">4_Scorer_A!G83</f>
        <v/>
      </c>
      <c r="E83" s="18" t="str">
        <f aca="false">4_Scorer_B!G83</f>
        <v/>
      </c>
      <c r="F83" s="18" t="str">
        <f aca="false">4_Scorer_C!G83</f>
        <v/>
      </c>
      <c r="G83" s="18" t="str">
        <f aca="false">IF(COUNT(D83:F83)=3,AVERAGE(D83:F83),"")</f>
        <v/>
      </c>
      <c r="H83" s="18" t="str">
        <f aca="false">IF(COUNT(D83:F83)=3,MAX(D83:F83)-MIN(D83:F83),"")</f>
        <v/>
      </c>
      <c r="I83" s="18" t="str">
        <f aca="false">IF(H83="","",IF(H83&gt;1,"RECONCILE","OK"))</f>
        <v/>
      </c>
      <c r="J83" s="18" t="str">
        <f aca="false">IF(G83="","",G83)</f>
        <v/>
      </c>
    </row>
    <row r="84" customFormat="false" ht="15" hidden="false" customHeight="false" outlineLevel="0" collapsed="false">
      <c r="A84" s="18" t="s">
        <v>145</v>
      </c>
      <c r="B84" s="18" t="n">
        <v>3</v>
      </c>
      <c r="C84" s="18" t="s">
        <v>313</v>
      </c>
      <c r="D84" s="18" t="str">
        <f aca="false">4_Scorer_A!G84</f>
        <v/>
      </c>
      <c r="E84" s="18" t="str">
        <f aca="false">4_Scorer_B!G84</f>
        <v/>
      </c>
      <c r="F84" s="18" t="str">
        <f aca="false">4_Scorer_C!G84</f>
        <v/>
      </c>
      <c r="G84" s="18" t="str">
        <f aca="false">IF(COUNT(D84:F84)=3,AVERAGE(D84:F84),"")</f>
        <v/>
      </c>
      <c r="H84" s="18" t="str">
        <f aca="false">IF(COUNT(D84:F84)=3,MAX(D84:F84)-MIN(D84:F84),"")</f>
        <v/>
      </c>
      <c r="I84" s="18" t="str">
        <f aca="false">IF(H84="","",IF(H84&gt;1,"RECONCILE","OK"))</f>
        <v/>
      </c>
      <c r="J84" s="18" t="str">
        <f aca="false">IF(G84="","",G84)</f>
        <v/>
      </c>
    </row>
    <row r="85" customFormat="false" ht="15" hidden="false" customHeight="false" outlineLevel="0" collapsed="false">
      <c r="A85" s="18" t="s">
        <v>145</v>
      </c>
      <c r="B85" s="18" t="n">
        <v>3</v>
      </c>
      <c r="C85" s="18" t="s">
        <v>314</v>
      </c>
      <c r="D85" s="18" t="str">
        <f aca="false">4_Scorer_A!G85</f>
        <v/>
      </c>
      <c r="E85" s="18" t="str">
        <f aca="false">4_Scorer_B!G85</f>
        <v/>
      </c>
      <c r="F85" s="18" t="str">
        <f aca="false">4_Scorer_C!G85</f>
        <v/>
      </c>
      <c r="G85" s="18" t="str">
        <f aca="false">IF(COUNT(D85:F85)=3,AVERAGE(D85:F85),"")</f>
        <v/>
      </c>
      <c r="H85" s="18" t="str">
        <f aca="false">IF(COUNT(D85:F85)=3,MAX(D85:F85)-MIN(D85:F85),"")</f>
        <v/>
      </c>
      <c r="I85" s="18" t="str">
        <f aca="false">IF(H85="","",IF(H85&gt;1,"RECONCILE","OK"))</f>
        <v/>
      </c>
      <c r="J85" s="18" t="str">
        <f aca="false">IF(G85="","",G85)</f>
        <v/>
      </c>
    </row>
    <row r="86" customFormat="false" ht="15" hidden="false" customHeight="false" outlineLevel="0" collapsed="false">
      <c r="A86" s="18" t="s">
        <v>150</v>
      </c>
      <c r="B86" s="18" t="n">
        <v>3</v>
      </c>
      <c r="C86" s="18" t="s">
        <v>311</v>
      </c>
      <c r="D86" s="18" t="str">
        <f aca="false">4_Scorer_A!G86</f>
        <v/>
      </c>
      <c r="E86" s="18" t="str">
        <f aca="false">4_Scorer_B!G86</f>
        <v/>
      </c>
      <c r="F86" s="18" t="str">
        <f aca="false">4_Scorer_C!G86</f>
        <v/>
      </c>
      <c r="G86" s="18" t="str">
        <f aca="false">IF(COUNT(D86:F86)=3,AVERAGE(D86:F86),"")</f>
        <v/>
      </c>
      <c r="H86" s="18" t="str">
        <f aca="false">IF(COUNT(D86:F86)=3,MAX(D86:F86)-MIN(D86:F86),"")</f>
        <v/>
      </c>
      <c r="I86" s="18" t="str">
        <f aca="false">IF(H86="","",IF(H86&gt;1,"RECONCILE","OK"))</f>
        <v/>
      </c>
      <c r="J86" s="18" t="str">
        <f aca="false">IF(G86="","",G86)</f>
        <v/>
      </c>
    </row>
    <row r="87" customFormat="false" ht="15" hidden="false" customHeight="false" outlineLevel="0" collapsed="false">
      <c r="A87" s="18" t="s">
        <v>150</v>
      </c>
      <c r="B87" s="18" t="n">
        <v>3</v>
      </c>
      <c r="C87" s="18" t="s">
        <v>312</v>
      </c>
      <c r="D87" s="18" t="str">
        <f aca="false">4_Scorer_A!G87</f>
        <v/>
      </c>
      <c r="E87" s="18" t="str">
        <f aca="false">4_Scorer_B!G87</f>
        <v/>
      </c>
      <c r="F87" s="18" t="str">
        <f aca="false">4_Scorer_C!G87</f>
        <v/>
      </c>
      <c r="G87" s="18" t="str">
        <f aca="false">IF(COUNT(D87:F87)=3,AVERAGE(D87:F87),"")</f>
        <v/>
      </c>
      <c r="H87" s="18" t="str">
        <f aca="false">IF(COUNT(D87:F87)=3,MAX(D87:F87)-MIN(D87:F87),"")</f>
        <v/>
      </c>
      <c r="I87" s="18" t="str">
        <f aca="false">IF(H87="","",IF(H87&gt;1,"RECONCILE","OK"))</f>
        <v/>
      </c>
      <c r="J87" s="18" t="str">
        <f aca="false">IF(G87="","",G87)</f>
        <v/>
      </c>
    </row>
    <row r="88" customFormat="false" ht="15" hidden="false" customHeight="false" outlineLevel="0" collapsed="false">
      <c r="A88" s="18" t="s">
        <v>150</v>
      </c>
      <c r="B88" s="18" t="n">
        <v>3</v>
      </c>
      <c r="C88" s="18" t="s">
        <v>313</v>
      </c>
      <c r="D88" s="18" t="str">
        <f aca="false">4_Scorer_A!G88</f>
        <v/>
      </c>
      <c r="E88" s="18" t="str">
        <f aca="false">4_Scorer_B!G88</f>
        <v/>
      </c>
      <c r="F88" s="18" t="str">
        <f aca="false">4_Scorer_C!G88</f>
        <v/>
      </c>
      <c r="G88" s="18" t="str">
        <f aca="false">IF(COUNT(D88:F88)=3,AVERAGE(D88:F88),"")</f>
        <v/>
      </c>
      <c r="H88" s="18" t="str">
        <f aca="false">IF(COUNT(D88:F88)=3,MAX(D88:F88)-MIN(D88:F88),"")</f>
        <v/>
      </c>
      <c r="I88" s="18" t="str">
        <f aca="false">IF(H88="","",IF(H88&gt;1,"RECONCILE","OK"))</f>
        <v/>
      </c>
      <c r="J88" s="18" t="str">
        <f aca="false">IF(G88="","",G88)</f>
        <v/>
      </c>
    </row>
    <row r="89" customFormat="false" ht="15" hidden="false" customHeight="false" outlineLevel="0" collapsed="false">
      <c r="A89" s="18" t="s">
        <v>150</v>
      </c>
      <c r="B89" s="18" t="n">
        <v>3</v>
      </c>
      <c r="C89" s="18" t="s">
        <v>314</v>
      </c>
      <c r="D89" s="18" t="str">
        <f aca="false">4_Scorer_A!G89</f>
        <v/>
      </c>
      <c r="E89" s="18" t="str">
        <f aca="false">4_Scorer_B!G89</f>
        <v/>
      </c>
      <c r="F89" s="18" t="str">
        <f aca="false">4_Scorer_C!G89</f>
        <v/>
      </c>
      <c r="G89" s="18" t="str">
        <f aca="false">IF(COUNT(D89:F89)=3,AVERAGE(D89:F89),"")</f>
        <v/>
      </c>
      <c r="H89" s="18" t="str">
        <f aca="false">IF(COUNT(D89:F89)=3,MAX(D89:F89)-MIN(D89:F89),"")</f>
        <v/>
      </c>
      <c r="I89" s="18" t="str">
        <f aca="false">IF(H89="","",IF(H89&gt;1,"RECONCILE","OK"))</f>
        <v/>
      </c>
      <c r="J89" s="18" t="str">
        <f aca="false">IF(G89="","",G89)</f>
        <v/>
      </c>
    </row>
    <row r="90" customFormat="false" ht="15" hidden="false" customHeight="false" outlineLevel="0" collapsed="false">
      <c r="A90" s="18" t="s">
        <v>154</v>
      </c>
      <c r="B90" s="18" t="n">
        <v>3</v>
      </c>
      <c r="C90" s="18" t="s">
        <v>311</v>
      </c>
      <c r="D90" s="18" t="str">
        <f aca="false">4_Scorer_A!G90</f>
        <v/>
      </c>
      <c r="E90" s="18" t="str">
        <f aca="false">4_Scorer_B!G90</f>
        <v/>
      </c>
      <c r="F90" s="18" t="str">
        <f aca="false">4_Scorer_C!G90</f>
        <v/>
      </c>
      <c r="G90" s="18" t="str">
        <f aca="false">IF(COUNT(D90:F90)=3,AVERAGE(D90:F90),"")</f>
        <v/>
      </c>
      <c r="H90" s="18" t="str">
        <f aca="false">IF(COUNT(D90:F90)=3,MAX(D90:F90)-MIN(D90:F90),"")</f>
        <v/>
      </c>
      <c r="I90" s="18" t="str">
        <f aca="false">IF(H90="","",IF(H90&gt;1,"RECONCILE","OK"))</f>
        <v/>
      </c>
      <c r="J90" s="18" t="str">
        <f aca="false">IF(G90="","",G90)</f>
        <v/>
      </c>
    </row>
    <row r="91" customFormat="false" ht="15" hidden="false" customHeight="false" outlineLevel="0" collapsed="false">
      <c r="A91" s="18" t="s">
        <v>154</v>
      </c>
      <c r="B91" s="18" t="n">
        <v>3</v>
      </c>
      <c r="C91" s="18" t="s">
        <v>312</v>
      </c>
      <c r="D91" s="18" t="str">
        <f aca="false">4_Scorer_A!G91</f>
        <v/>
      </c>
      <c r="E91" s="18" t="str">
        <f aca="false">4_Scorer_B!G91</f>
        <v/>
      </c>
      <c r="F91" s="18" t="str">
        <f aca="false">4_Scorer_C!G91</f>
        <v/>
      </c>
      <c r="G91" s="18" t="str">
        <f aca="false">IF(COUNT(D91:F91)=3,AVERAGE(D91:F91),"")</f>
        <v/>
      </c>
      <c r="H91" s="18" t="str">
        <f aca="false">IF(COUNT(D91:F91)=3,MAX(D91:F91)-MIN(D91:F91),"")</f>
        <v/>
      </c>
      <c r="I91" s="18" t="str">
        <f aca="false">IF(H91="","",IF(H91&gt;1,"RECONCILE","OK"))</f>
        <v/>
      </c>
      <c r="J91" s="18" t="str">
        <f aca="false">IF(G91="","",G91)</f>
        <v/>
      </c>
    </row>
    <row r="92" customFormat="false" ht="15" hidden="false" customHeight="false" outlineLevel="0" collapsed="false">
      <c r="A92" s="18" t="s">
        <v>154</v>
      </c>
      <c r="B92" s="18" t="n">
        <v>3</v>
      </c>
      <c r="C92" s="18" t="s">
        <v>313</v>
      </c>
      <c r="D92" s="18" t="str">
        <f aca="false">4_Scorer_A!G92</f>
        <v/>
      </c>
      <c r="E92" s="18" t="str">
        <f aca="false">4_Scorer_B!G92</f>
        <v/>
      </c>
      <c r="F92" s="18" t="str">
        <f aca="false">4_Scorer_C!G92</f>
        <v/>
      </c>
      <c r="G92" s="18" t="str">
        <f aca="false">IF(COUNT(D92:F92)=3,AVERAGE(D92:F92),"")</f>
        <v/>
      </c>
      <c r="H92" s="18" t="str">
        <f aca="false">IF(COUNT(D92:F92)=3,MAX(D92:F92)-MIN(D92:F92),"")</f>
        <v/>
      </c>
      <c r="I92" s="18" t="str">
        <f aca="false">IF(H92="","",IF(H92&gt;1,"RECONCILE","OK"))</f>
        <v/>
      </c>
      <c r="J92" s="18" t="str">
        <f aca="false">IF(G92="","",G92)</f>
        <v/>
      </c>
    </row>
    <row r="93" customFormat="false" ht="15" hidden="false" customHeight="false" outlineLevel="0" collapsed="false">
      <c r="A93" s="18" t="s">
        <v>154</v>
      </c>
      <c r="B93" s="18" t="n">
        <v>3</v>
      </c>
      <c r="C93" s="18" t="s">
        <v>314</v>
      </c>
      <c r="D93" s="18" t="str">
        <f aca="false">4_Scorer_A!G93</f>
        <v/>
      </c>
      <c r="E93" s="18" t="str">
        <f aca="false">4_Scorer_B!G93</f>
        <v/>
      </c>
      <c r="F93" s="18" t="str">
        <f aca="false">4_Scorer_C!G93</f>
        <v/>
      </c>
      <c r="G93" s="18" t="str">
        <f aca="false">IF(COUNT(D93:F93)=3,AVERAGE(D93:F93),"")</f>
        <v/>
      </c>
      <c r="H93" s="18" t="str">
        <f aca="false">IF(COUNT(D93:F93)=3,MAX(D93:F93)-MIN(D93:F93),"")</f>
        <v/>
      </c>
      <c r="I93" s="18" t="str">
        <f aca="false">IF(H93="","",IF(H93&gt;1,"RECONCILE","OK"))</f>
        <v/>
      </c>
      <c r="J93" s="18" t="str">
        <f aca="false">IF(G93="","",G93)</f>
        <v/>
      </c>
    </row>
    <row r="94" customFormat="false" ht="15" hidden="false" customHeight="false" outlineLevel="0" collapsed="false">
      <c r="A94" s="18" t="s">
        <v>158</v>
      </c>
      <c r="B94" s="18" t="n">
        <v>3</v>
      </c>
      <c r="C94" s="18" t="s">
        <v>311</v>
      </c>
      <c r="D94" s="18" t="str">
        <f aca="false">4_Scorer_A!G94</f>
        <v/>
      </c>
      <c r="E94" s="18" t="str">
        <f aca="false">4_Scorer_B!G94</f>
        <v/>
      </c>
      <c r="F94" s="18" t="str">
        <f aca="false">4_Scorer_C!G94</f>
        <v/>
      </c>
      <c r="G94" s="18" t="str">
        <f aca="false">IF(COUNT(D94:F94)=3,AVERAGE(D94:F94),"")</f>
        <v/>
      </c>
      <c r="H94" s="18" t="str">
        <f aca="false">IF(COUNT(D94:F94)=3,MAX(D94:F94)-MIN(D94:F94),"")</f>
        <v/>
      </c>
      <c r="I94" s="18" t="str">
        <f aca="false">IF(H94="","",IF(H94&gt;1,"RECONCILE","OK"))</f>
        <v/>
      </c>
      <c r="J94" s="18" t="str">
        <f aca="false">IF(G94="","",G94)</f>
        <v/>
      </c>
    </row>
    <row r="95" customFormat="false" ht="15" hidden="false" customHeight="false" outlineLevel="0" collapsed="false">
      <c r="A95" s="18" t="s">
        <v>158</v>
      </c>
      <c r="B95" s="18" t="n">
        <v>3</v>
      </c>
      <c r="C95" s="18" t="s">
        <v>312</v>
      </c>
      <c r="D95" s="18" t="str">
        <f aca="false">4_Scorer_A!G95</f>
        <v/>
      </c>
      <c r="E95" s="18" t="str">
        <f aca="false">4_Scorer_B!G95</f>
        <v/>
      </c>
      <c r="F95" s="18" t="str">
        <f aca="false">4_Scorer_C!G95</f>
        <v/>
      </c>
      <c r="G95" s="18" t="str">
        <f aca="false">IF(COUNT(D95:F95)=3,AVERAGE(D95:F95),"")</f>
        <v/>
      </c>
      <c r="H95" s="18" t="str">
        <f aca="false">IF(COUNT(D95:F95)=3,MAX(D95:F95)-MIN(D95:F95),"")</f>
        <v/>
      </c>
      <c r="I95" s="18" t="str">
        <f aca="false">IF(H95="","",IF(H95&gt;1,"RECONCILE","OK"))</f>
        <v/>
      </c>
      <c r="J95" s="18" t="str">
        <f aca="false">IF(G95="","",G95)</f>
        <v/>
      </c>
    </row>
    <row r="96" customFormat="false" ht="15" hidden="false" customHeight="false" outlineLevel="0" collapsed="false">
      <c r="A96" s="18" t="s">
        <v>158</v>
      </c>
      <c r="B96" s="18" t="n">
        <v>3</v>
      </c>
      <c r="C96" s="18" t="s">
        <v>313</v>
      </c>
      <c r="D96" s="18" t="str">
        <f aca="false">4_Scorer_A!G96</f>
        <v/>
      </c>
      <c r="E96" s="18" t="str">
        <f aca="false">4_Scorer_B!G96</f>
        <v/>
      </c>
      <c r="F96" s="18" t="str">
        <f aca="false">4_Scorer_C!G96</f>
        <v/>
      </c>
      <c r="G96" s="18" t="str">
        <f aca="false">IF(COUNT(D96:F96)=3,AVERAGE(D96:F96),"")</f>
        <v/>
      </c>
      <c r="H96" s="18" t="str">
        <f aca="false">IF(COUNT(D96:F96)=3,MAX(D96:F96)-MIN(D96:F96),"")</f>
        <v/>
      </c>
      <c r="I96" s="18" t="str">
        <f aca="false">IF(H96="","",IF(H96&gt;1,"RECONCILE","OK"))</f>
        <v/>
      </c>
      <c r="J96" s="18" t="str">
        <f aca="false">IF(G96="","",G96)</f>
        <v/>
      </c>
    </row>
    <row r="97" customFormat="false" ht="15" hidden="false" customHeight="false" outlineLevel="0" collapsed="false">
      <c r="A97" s="18" t="s">
        <v>158</v>
      </c>
      <c r="B97" s="18" t="n">
        <v>3</v>
      </c>
      <c r="C97" s="18" t="s">
        <v>314</v>
      </c>
      <c r="D97" s="18" t="str">
        <f aca="false">4_Scorer_A!G97</f>
        <v/>
      </c>
      <c r="E97" s="18" t="str">
        <f aca="false">4_Scorer_B!G97</f>
        <v/>
      </c>
      <c r="F97" s="18" t="str">
        <f aca="false">4_Scorer_C!G97</f>
        <v/>
      </c>
      <c r="G97" s="18" t="str">
        <f aca="false">IF(COUNT(D97:F97)=3,AVERAGE(D97:F97),"")</f>
        <v/>
      </c>
      <c r="H97" s="18" t="str">
        <f aca="false">IF(COUNT(D97:F97)=3,MAX(D97:F97)-MIN(D97:F97),"")</f>
        <v/>
      </c>
      <c r="I97" s="18" t="str">
        <f aca="false">IF(H97="","",IF(H97&gt;1,"RECONCILE","OK"))</f>
        <v/>
      </c>
      <c r="J97" s="18" t="str">
        <f aca="false">IF(G97="","",G97)</f>
        <v/>
      </c>
    </row>
    <row r="98" customFormat="false" ht="15" hidden="false" customHeight="false" outlineLevel="0" collapsed="false">
      <c r="A98" s="18" t="s">
        <v>162</v>
      </c>
      <c r="B98" s="18" t="n">
        <v>3</v>
      </c>
      <c r="C98" s="18" t="s">
        <v>311</v>
      </c>
      <c r="D98" s="18" t="str">
        <f aca="false">4_Scorer_A!G98</f>
        <v/>
      </c>
      <c r="E98" s="18" t="str">
        <f aca="false">4_Scorer_B!G98</f>
        <v/>
      </c>
      <c r="F98" s="18" t="str">
        <f aca="false">4_Scorer_C!G98</f>
        <v/>
      </c>
      <c r="G98" s="18" t="str">
        <f aca="false">IF(COUNT(D98:F98)=3,AVERAGE(D98:F98),"")</f>
        <v/>
      </c>
      <c r="H98" s="18" t="str">
        <f aca="false">IF(COUNT(D98:F98)=3,MAX(D98:F98)-MIN(D98:F98),"")</f>
        <v/>
      </c>
      <c r="I98" s="18" t="str">
        <f aca="false">IF(H98="","",IF(H98&gt;1,"RECONCILE","OK"))</f>
        <v/>
      </c>
      <c r="J98" s="18" t="str">
        <f aca="false">IF(G98="","",G98)</f>
        <v/>
      </c>
    </row>
    <row r="99" customFormat="false" ht="15" hidden="false" customHeight="false" outlineLevel="0" collapsed="false">
      <c r="A99" s="18" t="s">
        <v>162</v>
      </c>
      <c r="B99" s="18" t="n">
        <v>3</v>
      </c>
      <c r="C99" s="18" t="s">
        <v>312</v>
      </c>
      <c r="D99" s="18" t="str">
        <f aca="false">4_Scorer_A!G99</f>
        <v/>
      </c>
      <c r="E99" s="18" t="str">
        <f aca="false">4_Scorer_B!G99</f>
        <v/>
      </c>
      <c r="F99" s="18" t="str">
        <f aca="false">4_Scorer_C!G99</f>
        <v/>
      </c>
      <c r="G99" s="18" t="str">
        <f aca="false">IF(COUNT(D99:F99)=3,AVERAGE(D99:F99),"")</f>
        <v/>
      </c>
      <c r="H99" s="18" t="str">
        <f aca="false">IF(COUNT(D99:F99)=3,MAX(D99:F99)-MIN(D99:F99),"")</f>
        <v/>
      </c>
      <c r="I99" s="18" t="str">
        <f aca="false">IF(H99="","",IF(H99&gt;1,"RECONCILE","OK"))</f>
        <v/>
      </c>
      <c r="J99" s="18" t="str">
        <f aca="false">IF(G99="","",G99)</f>
        <v/>
      </c>
    </row>
    <row r="100" customFormat="false" ht="15" hidden="false" customHeight="false" outlineLevel="0" collapsed="false">
      <c r="A100" s="18" t="s">
        <v>162</v>
      </c>
      <c r="B100" s="18" t="n">
        <v>3</v>
      </c>
      <c r="C100" s="18" t="s">
        <v>313</v>
      </c>
      <c r="D100" s="18" t="str">
        <f aca="false">4_Scorer_A!G100</f>
        <v/>
      </c>
      <c r="E100" s="18" t="str">
        <f aca="false">4_Scorer_B!G100</f>
        <v/>
      </c>
      <c r="F100" s="18" t="str">
        <f aca="false">4_Scorer_C!G100</f>
        <v/>
      </c>
      <c r="G100" s="18" t="str">
        <f aca="false">IF(COUNT(D100:F100)=3,AVERAGE(D100:F100),"")</f>
        <v/>
      </c>
      <c r="H100" s="18" t="str">
        <f aca="false">IF(COUNT(D100:F100)=3,MAX(D100:F100)-MIN(D100:F100),"")</f>
        <v/>
      </c>
      <c r="I100" s="18" t="str">
        <f aca="false">IF(H100="","",IF(H100&gt;1,"RECONCILE","OK"))</f>
        <v/>
      </c>
      <c r="J100" s="18" t="str">
        <f aca="false">IF(G100="","",G100)</f>
        <v/>
      </c>
    </row>
    <row r="101" customFormat="false" ht="15" hidden="false" customHeight="false" outlineLevel="0" collapsed="false">
      <c r="A101" s="18" t="s">
        <v>162</v>
      </c>
      <c r="B101" s="18" t="n">
        <v>3</v>
      </c>
      <c r="C101" s="18" t="s">
        <v>314</v>
      </c>
      <c r="D101" s="18" t="str">
        <f aca="false">4_Scorer_A!G101</f>
        <v/>
      </c>
      <c r="E101" s="18" t="str">
        <f aca="false">4_Scorer_B!G101</f>
        <v/>
      </c>
      <c r="F101" s="18" t="str">
        <f aca="false">4_Scorer_C!G101</f>
        <v/>
      </c>
      <c r="G101" s="18" t="str">
        <f aca="false">IF(COUNT(D101:F101)=3,AVERAGE(D101:F101),"")</f>
        <v/>
      </c>
      <c r="H101" s="18" t="str">
        <f aca="false">IF(COUNT(D101:F101)=3,MAX(D101:F101)-MIN(D101:F101),"")</f>
        <v/>
      </c>
      <c r="I101" s="18" t="str">
        <f aca="false">IF(H101="","",IF(H101&gt;1,"RECONCILE","OK"))</f>
        <v/>
      </c>
      <c r="J101" s="18" t="str">
        <f aca="false">IF(G101="","",G101)</f>
        <v/>
      </c>
    </row>
    <row r="102" customFormat="false" ht="15" hidden="false" customHeight="false" outlineLevel="0" collapsed="false">
      <c r="A102" s="18" t="s">
        <v>166</v>
      </c>
      <c r="B102" s="18" t="n">
        <v>3</v>
      </c>
      <c r="C102" s="18" t="s">
        <v>311</v>
      </c>
      <c r="D102" s="18" t="str">
        <f aca="false">4_Scorer_A!G102</f>
        <v/>
      </c>
      <c r="E102" s="18" t="str">
        <f aca="false">4_Scorer_B!G102</f>
        <v/>
      </c>
      <c r="F102" s="18" t="str">
        <f aca="false">4_Scorer_C!G102</f>
        <v/>
      </c>
      <c r="G102" s="18" t="str">
        <f aca="false">IF(COUNT(D102:F102)=3,AVERAGE(D102:F102),"")</f>
        <v/>
      </c>
      <c r="H102" s="18" t="str">
        <f aca="false">IF(COUNT(D102:F102)=3,MAX(D102:F102)-MIN(D102:F102),"")</f>
        <v/>
      </c>
      <c r="I102" s="18" t="str">
        <f aca="false">IF(H102="","",IF(H102&gt;1,"RECONCILE","OK"))</f>
        <v/>
      </c>
      <c r="J102" s="18" t="str">
        <f aca="false">IF(G102="","",G102)</f>
        <v/>
      </c>
    </row>
    <row r="103" customFormat="false" ht="15" hidden="false" customHeight="false" outlineLevel="0" collapsed="false">
      <c r="A103" s="18" t="s">
        <v>166</v>
      </c>
      <c r="B103" s="18" t="n">
        <v>3</v>
      </c>
      <c r="C103" s="18" t="s">
        <v>312</v>
      </c>
      <c r="D103" s="18" t="str">
        <f aca="false">4_Scorer_A!G103</f>
        <v/>
      </c>
      <c r="E103" s="18" t="str">
        <f aca="false">4_Scorer_B!G103</f>
        <v/>
      </c>
      <c r="F103" s="18" t="str">
        <f aca="false">4_Scorer_C!G103</f>
        <v/>
      </c>
      <c r="G103" s="18" t="str">
        <f aca="false">IF(COUNT(D103:F103)=3,AVERAGE(D103:F103),"")</f>
        <v/>
      </c>
      <c r="H103" s="18" t="str">
        <f aca="false">IF(COUNT(D103:F103)=3,MAX(D103:F103)-MIN(D103:F103),"")</f>
        <v/>
      </c>
      <c r="I103" s="18" t="str">
        <f aca="false">IF(H103="","",IF(H103&gt;1,"RECONCILE","OK"))</f>
        <v/>
      </c>
      <c r="J103" s="18" t="str">
        <f aca="false">IF(G103="","",G103)</f>
        <v/>
      </c>
    </row>
    <row r="104" customFormat="false" ht="15" hidden="false" customHeight="false" outlineLevel="0" collapsed="false">
      <c r="A104" s="18" t="s">
        <v>166</v>
      </c>
      <c r="B104" s="18" t="n">
        <v>3</v>
      </c>
      <c r="C104" s="18" t="s">
        <v>313</v>
      </c>
      <c r="D104" s="18" t="str">
        <f aca="false">4_Scorer_A!G104</f>
        <v/>
      </c>
      <c r="E104" s="18" t="str">
        <f aca="false">4_Scorer_B!G104</f>
        <v/>
      </c>
      <c r="F104" s="18" t="str">
        <f aca="false">4_Scorer_C!G104</f>
        <v/>
      </c>
      <c r="G104" s="18" t="str">
        <f aca="false">IF(COUNT(D104:F104)=3,AVERAGE(D104:F104),"")</f>
        <v/>
      </c>
      <c r="H104" s="18" t="str">
        <f aca="false">IF(COUNT(D104:F104)=3,MAX(D104:F104)-MIN(D104:F104),"")</f>
        <v/>
      </c>
      <c r="I104" s="18" t="str">
        <f aca="false">IF(H104="","",IF(H104&gt;1,"RECONCILE","OK"))</f>
        <v/>
      </c>
      <c r="J104" s="18" t="str">
        <f aca="false">IF(G104="","",G104)</f>
        <v/>
      </c>
    </row>
    <row r="105" customFormat="false" ht="15" hidden="false" customHeight="false" outlineLevel="0" collapsed="false">
      <c r="A105" s="18" t="s">
        <v>166</v>
      </c>
      <c r="B105" s="18" t="n">
        <v>3</v>
      </c>
      <c r="C105" s="18" t="s">
        <v>314</v>
      </c>
      <c r="D105" s="18" t="str">
        <f aca="false">4_Scorer_A!G105</f>
        <v/>
      </c>
      <c r="E105" s="18" t="str">
        <f aca="false">4_Scorer_B!G105</f>
        <v/>
      </c>
      <c r="F105" s="18" t="str">
        <f aca="false">4_Scorer_C!G105</f>
        <v/>
      </c>
      <c r="G105" s="18" t="str">
        <f aca="false">IF(COUNT(D105:F105)=3,AVERAGE(D105:F105),"")</f>
        <v/>
      </c>
      <c r="H105" s="18" t="str">
        <f aca="false">IF(COUNT(D105:F105)=3,MAX(D105:F105)-MIN(D105:F105),"")</f>
        <v/>
      </c>
      <c r="I105" s="18" t="str">
        <f aca="false">IF(H105="","",IF(H105&gt;1,"RECONCILE","OK"))</f>
        <v/>
      </c>
      <c r="J105" s="18" t="str">
        <f aca="false">IF(G105="","",G105)</f>
        <v/>
      </c>
    </row>
    <row r="106" customFormat="false" ht="15" hidden="false" customHeight="false" outlineLevel="0" collapsed="false">
      <c r="A106" s="18" t="s">
        <v>170</v>
      </c>
      <c r="B106" s="18" t="n">
        <v>3</v>
      </c>
      <c r="C106" s="18" t="s">
        <v>311</v>
      </c>
      <c r="D106" s="18" t="str">
        <f aca="false">4_Scorer_A!G106</f>
        <v/>
      </c>
      <c r="E106" s="18" t="str">
        <f aca="false">4_Scorer_B!G106</f>
        <v/>
      </c>
      <c r="F106" s="18" t="str">
        <f aca="false">4_Scorer_C!G106</f>
        <v/>
      </c>
      <c r="G106" s="18" t="str">
        <f aca="false">IF(COUNT(D106:F106)=3,AVERAGE(D106:F106),"")</f>
        <v/>
      </c>
      <c r="H106" s="18" t="str">
        <f aca="false">IF(COUNT(D106:F106)=3,MAX(D106:F106)-MIN(D106:F106),"")</f>
        <v/>
      </c>
      <c r="I106" s="18" t="str">
        <f aca="false">IF(H106="","",IF(H106&gt;1,"RECONCILE","OK"))</f>
        <v/>
      </c>
      <c r="J106" s="18" t="str">
        <f aca="false">IF(G106="","",G106)</f>
        <v/>
      </c>
    </row>
    <row r="107" customFormat="false" ht="15" hidden="false" customHeight="false" outlineLevel="0" collapsed="false">
      <c r="A107" s="18" t="s">
        <v>170</v>
      </c>
      <c r="B107" s="18" t="n">
        <v>3</v>
      </c>
      <c r="C107" s="18" t="s">
        <v>312</v>
      </c>
      <c r="D107" s="18" t="str">
        <f aca="false">4_Scorer_A!G107</f>
        <v/>
      </c>
      <c r="E107" s="18" t="str">
        <f aca="false">4_Scorer_B!G107</f>
        <v/>
      </c>
      <c r="F107" s="18" t="str">
        <f aca="false">4_Scorer_C!G107</f>
        <v/>
      </c>
      <c r="G107" s="18" t="str">
        <f aca="false">IF(COUNT(D107:F107)=3,AVERAGE(D107:F107),"")</f>
        <v/>
      </c>
      <c r="H107" s="18" t="str">
        <f aca="false">IF(COUNT(D107:F107)=3,MAX(D107:F107)-MIN(D107:F107),"")</f>
        <v/>
      </c>
      <c r="I107" s="18" t="str">
        <f aca="false">IF(H107="","",IF(H107&gt;1,"RECONCILE","OK"))</f>
        <v/>
      </c>
      <c r="J107" s="18" t="str">
        <f aca="false">IF(G107="","",G107)</f>
        <v/>
      </c>
    </row>
    <row r="108" customFormat="false" ht="15" hidden="false" customHeight="false" outlineLevel="0" collapsed="false">
      <c r="A108" s="18" t="s">
        <v>170</v>
      </c>
      <c r="B108" s="18" t="n">
        <v>3</v>
      </c>
      <c r="C108" s="18" t="s">
        <v>313</v>
      </c>
      <c r="D108" s="18" t="str">
        <f aca="false">4_Scorer_A!G108</f>
        <v/>
      </c>
      <c r="E108" s="18" t="str">
        <f aca="false">4_Scorer_B!G108</f>
        <v/>
      </c>
      <c r="F108" s="18" t="str">
        <f aca="false">4_Scorer_C!G108</f>
        <v/>
      </c>
      <c r="G108" s="18" t="str">
        <f aca="false">IF(COUNT(D108:F108)=3,AVERAGE(D108:F108),"")</f>
        <v/>
      </c>
      <c r="H108" s="18" t="str">
        <f aca="false">IF(COUNT(D108:F108)=3,MAX(D108:F108)-MIN(D108:F108),"")</f>
        <v/>
      </c>
      <c r="I108" s="18" t="str">
        <f aca="false">IF(H108="","",IF(H108&gt;1,"RECONCILE","OK"))</f>
        <v/>
      </c>
      <c r="J108" s="18" t="str">
        <f aca="false">IF(G108="","",G108)</f>
        <v/>
      </c>
    </row>
    <row r="109" customFormat="false" ht="15" hidden="false" customHeight="false" outlineLevel="0" collapsed="false">
      <c r="A109" s="18" t="s">
        <v>170</v>
      </c>
      <c r="B109" s="18" t="n">
        <v>3</v>
      </c>
      <c r="C109" s="18" t="s">
        <v>314</v>
      </c>
      <c r="D109" s="18" t="str">
        <f aca="false">4_Scorer_A!G109</f>
        <v/>
      </c>
      <c r="E109" s="18" t="str">
        <f aca="false">4_Scorer_B!G109</f>
        <v/>
      </c>
      <c r="F109" s="18" t="str">
        <f aca="false">4_Scorer_C!G109</f>
        <v/>
      </c>
      <c r="G109" s="18" t="str">
        <f aca="false">IF(COUNT(D109:F109)=3,AVERAGE(D109:F109),"")</f>
        <v/>
      </c>
      <c r="H109" s="18" t="str">
        <f aca="false">IF(COUNT(D109:F109)=3,MAX(D109:F109)-MIN(D109:F109),"")</f>
        <v/>
      </c>
      <c r="I109" s="18" t="str">
        <f aca="false">IF(H109="","",IF(H109&gt;1,"RECONCILE","OK"))</f>
        <v/>
      </c>
      <c r="J109" s="18" t="str">
        <f aca="false">IF(G109="","",G109)</f>
        <v/>
      </c>
    </row>
    <row r="110" customFormat="false" ht="15" hidden="false" customHeight="false" outlineLevel="0" collapsed="false">
      <c r="A110" s="18" t="s">
        <v>174</v>
      </c>
      <c r="B110" s="18" t="n">
        <v>3</v>
      </c>
      <c r="C110" s="18" t="s">
        <v>311</v>
      </c>
      <c r="D110" s="18" t="str">
        <f aca="false">4_Scorer_A!G110</f>
        <v/>
      </c>
      <c r="E110" s="18" t="str">
        <f aca="false">4_Scorer_B!G110</f>
        <v/>
      </c>
      <c r="F110" s="18" t="str">
        <f aca="false">4_Scorer_C!G110</f>
        <v/>
      </c>
      <c r="G110" s="18" t="str">
        <f aca="false">IF(COUNT(D110:F110)=3,AVERAGE(D110:F110),"")</f>
        <v/>
      </c>
      <c r="H110" s="18" t="str">
        <f aca="false">IF(COUNT(D110:F110)=3,MAX(D110:F110)-MIN(D110:F110),"")</f>
        <v/>
      </c>
      <c r="I110" s="18" t="str">
        <f aca="false">IF(H110="","",IF(H110&gt;1,"RECONCILE","OK"))</f>
        <v/>
      </c>
      <c r="J110" s="18" t="str">
        <f aca="false">IF(G110="","",G110)</f>
        <v/>
      </c>
    </row>
    <row r="111" customFormat="false" ht="15" hidden="false" customHeight="false" outlineLevel="0" collapsed="false">
      <c r="A111" s="18" t="s">
        <v>174</v>
      </c>
      <c r="B111" s="18" t="n">
        <v>3</v>
      </c>
      <c r="C111" s="18" t="s">
        <v>312</v>
      </c>
      <c r="D111" s="18" t="str">
        <f aca="false">4_Scorer_A!G111</f>
        <v/>
      </c>
      <c r="E111" s="18" t="str">
        <f aca="false">4_Scorer_B!G111</f>
        <v/>
      </c>
      <c r="F111" s="18" t="str">
        <f aca="false">4_Scorer_C!G111</f>
        <v/>
      </c>
      <c r="G111" s="18" t="str">
        <f aca="false">IF(COUNT(D111:F111)=3,AVERAGE(D111:F111),"")</f>
        <v/>
      </c>
      <c r="H111" s="18" t="str">
        <f aca="false">IF(COUNT(D111:F111)=3,MAX(D111:F111)-MIN(D111:F111),"")</f>
        <v/>
      </c>
      <c r="I111" s="18" t="str">
        <f aca="false">IF(H111="","",IF(H111&gt;1,"RECONCILE","OK"))</f>
        <v/>
      </c>
      <c r="J111" s="18" t="str">
        <f aca="false">IF(G111="","",G111)</f>
        <v/>
      </c>
    </row>
    <row r="112" customFormat="false" ht="15" hidden="false" customHeight="false" outlineLevel="0" collapsed="false">
      <c r="A112" s="18" t="s">
        <v>174</v>
      </c>
      <c r="B112" s="18" t="n">
        <v>3</v>
      </c>
      <c r="C112" s="18" t="s">
        <v>313</v>
      </c>
      <c r="D112" s="18" t="str">
        <f aca="false">4_Scorer_A!G112</f>
        <v/>
      </c>
      <c r="E112" s="18" t="str">
        <f aca="false">4_Scorer_B!G112</f>
        <v/>
      </c>
      <c r="F112" s="18" t="str">
        <f aca="false">4_Scorer_C!G112</f>
        <v/>
      </c>
      <c r="G112" s="18" t="str">
        <f aca="false">IF(COUNT(D112:F112)=3,AVERAGE(D112:F112),"")</f>
        <v/>
      </c>
      <c r="H112" s="18" t="str">
        <f aca="false">IF(COUNT(D112:F112)=3,MAX(D112:F112)-MIN(D112:F112),"")</f>
        <v/>
      </c>
      <c r="I112" s="18" t="str">
        <f aca="false">IF(H112="","",IF(H112&gt;1,"RECONCILE","OK"))</f>
        <v/>
      </c>
      <c r="J112" s="18" t="str">
        <f aca="false">IF(G112="","",G112)</f>
        <v/>
      </c>
    </row>
    <row r="113" customFormat="false" ht="15" hidden="false" customHeight="false" outlineLevel="0" collapsed="false">
      <c r="A113" s="18" t="s">
        <v>174</v>
      </c>
      <c r="B113" s="18" t="n">
        <v>3</v>
      </c>
      <c r="C113" s="18" t="s">
        <v>314</v>
      </c>
      <c r="D113" s="18" t="str">
        <f aca="false">4_Scorer_A!G113</f>
        <v/>
      </c>
      <c r="E113" s="18" t="str">
        <f aca="false">4_Scorer_B!G113</f>
        <v/>
      </c>
      <c r="F113" s="18" t="str">
        <f aca="false">4_Scorer_C!G113</f>
        <v/>
      </c>
      <c r="G113" s="18" t="str">
        <f aca="false">IF(COUNT(D113:F113)=3,AVERAGE(D113:F113),"")</f>
        <v/>
      </c>
      <c r="H113" s="18" t="str">
        <f aca="false">IF(COUNT(D113:F113)=3,MAX(D113:F113)-MIN(D113:F113),"")</f>
        <v/>
      </c>
      <c r="I113" s="18" t="str">
        <f aca="false">IF(H113="","",IF(H113&gt;1,"RECONCILE","OK"))</f>
        <v/>
      </c>
      <c r="J113" s="18" t="str">
        <f aca="false">IF(G113="","",G113)</f>
        <v/>
      </c>
    </row>
    <row r="114" customFormat="false" ht="15" hidden="false" customHeight="false" outlineLevel="0" collapsed="false">
      <c r="A114" s="18" t="s">
        <v>178</v>
      </c>
      <c r="B114" s="18" t="n">
        <v>3</v>
      </c>
      <c r="C114" s="18" t="s">
        <v>311</v>
      </c>
      <c r="D114" s="18" t="str">
        <f aca="false">4_Scorer_A!G114</f>
        <v/>
      </c>
      <c r="E114" s="18" t="str">
        <f aca="false">4_Scorer_B!G114</f>
        <v/>
      </c>
      <c r="F114" s="18" t="str">
        <f aca="false">4_Scorer_C!G114</f>
        <v/>
      </c>
      <c r="G114" s="18" t="str">
        <f aca="false">IF(COUNT(D114:F114)=3,AVERAGE(D114:F114),"")</f>
        <v/>
      </c>
      <c r="H114" s="18" t="str">
        <f aca="false">IF(COUNT(D114:F114)=3,MAX(D114:F114)-MIN(D114:F114),"")</f>
        <v/>
      </c>
      <c r="I114" s="18" t="str">
        <f aca="false">IF(H114="","",IF(H114&gt;1,"RECONCILE","OK"))</f>
        <v/>
      </c>
      <c r="J114" s="18" t="str">
        <f aca="false">IF(G114="","",G114)</f>
        <v/>
      </c>
    </row>
    <row r="115" customFormat="false" ht="15" hidden="false" customHeight="false" outlineLevel="0" collapsed="false">
      <c r="A115" s="18" t="s">
        <v>178</v>
      </c>
      <c r="B115" s="18" t="n">
        <v>3</v>
      </c>
      <c r="C115" s="18" t="s">
        <v>312</v>
      </c>
      <c r="D115" s="18" t="str">
        <f aca="false">4_Scorer_A!G115</f>
        <v/>
      </c>
      <c r="E115" s="18" t="str">
        <f aca="false">4_Scorer_B!G115</f>
        <v/>
      </c>
      <c r="F115" s="18" t="str">
        <f aca="false">4_Scorer_C!G115</f>
        <v/>
      </c>
      <c r="G115" s="18" t="str">
        <f aca="false">IF(COUNT(D115:F115)=3,AVERAGE(D115:F115),"")</f>
        <v/>
      </c>
      <c r="H115" s="18" t="str">
        <f aca="false">IF(COUNT(D115:F115)=3,MAX(D115:F115)-MIN(D115:F115),"")</f>
        <v/>
      </c>
      <c r="I115" s="18" t="str">
        <f aca="false">IF(H115="","",IF(H115&gt;1,"RECONCILE","OK"))</f>
        <v/>
      </c>
      <c r="J115" s="18" t="str">
        <f aca="false">IF(G115="","",G115)</f>
        <v/>
      </c>
    </row>
    <row r="116" customFormat="false" ht="15" hidden="false" customHeight="false" outlineLevel="0" collapsed="false">
      <c r="A116" s="18" t="s">
        <v>178</v>
      </c>
      <c r="B116" s="18" t="n">
        <v>3</v>
      </c>
      <c r="C116" s="18" t="s">
        <v>313</v>
      </c>
      <c r="D116" s="18" t="str">
        <f aca="false">4_Scorer_A!G116</f>
        <v/>
      </c>
      <c r="E116" s="18" t="str">
        <f aca="false">4_Scorer_B!G116</f>
        <v/>
      </c>
      <c r="F116" s="18" t="str">
        <f aca="false">4_Scorer_C!G116</f>
        <v/>
      </c>
      <c r="G116" s="18" t="str">
        <f aca="false">IF(COUNT(D116:F116)=3,AVERAGE(D116:F116),"")</f>
        <v/>
      </c>
      <c r="H116" s="18" t="str">
        <f aca="false">IF(COUNT(D116:F116)=3,MAX(D116:F116)-MIN(D116:F116),"")</f>
        <v/>
      </c>
      <c r="I116" s="18" t="str">
        <f aca="false">IF(H116="","",IF(H116&gt;1,"RECONCILE","OK"))</f>
        <v/>
      </c>
      <c r="J116" s="18" t="str">
        <f aca="false">IF(G116="","",G116)</f>
        <v/>
      </c>
    </row>
    <row r="117" customFormat="false" ht="15" hidden="false" customHeight="false" outlineLevel="0" collapsed="false">
      <c r="A117" s="18" t="s">
        <v>178</v>
      </c>
      <c r="B117" s="18" t="n">
        <v>3</v>
      </c>
      <c r="C117" s="18" t="s">
        <v>314</v>
      </c>
      <c r="D117" s="18" t="str">
        <f aca="false">4_Scorer_A!G117</f>
        <v/>
      </c>
      <c r="E117" s="18" t="str">
        <f aca="false">4_Scorer_B!G117</f>
        <v/>
      </c>
      <c r="F117" s="18" t="str">
        <f aca="false">4_Scorer_C!G117</f>
        <v/>
      </c>
      <c r="G117" s="18" t="str">
        <f aca="false">IF(COUNT(D117:F117)=3,AVERAGE(D117:F117),"")</f>
        <v/>
      </c>
      <c r="H117" s="18" t="str">
        <f aca="false">IF(COUNT(D117:F117)=3,MAX(D117:F117)-MIN(D117:F117),"")</f>
        <v/>
      </c>
      <c r="I117" s="18" t="str">
        <f aca="false">IF(H117="","",IF(H117&gt;1,"RECONCILE","OK"))</f>
        <v/>
      </c>
      <c r="J117" s="18" t="str">
        <f aca="false">IF(G117="","",G117)</f>
        <v/>
      </c>
    </row>
    <row r="118" customFormat="false" ht="15" hidden="false" customHeight="false" outlineLevel="0" collapsed="false">
      <c r="A118" s="18" t="s">
        <v>182</v>
      </c>
      <c r="B118" s="18" t="n">
        <v>3</v>
      </c>
      <c r="C118" s="18" t="s">
        <v>311</v>
      </c>
      <c r="D118" s="18" t="str">
        <f aca="false">4_Scorer_A!G118</f>
        <v/>
      </c>
      <c r="E118" s="18" t="str">
        <f aca="false">4_Scorer_B!G118</f>
        <v/>
      </c>
      <c r="F118" s="18" t="str">
        <f aca="false">4_Scorer_C!G118</f>
        <v/>
      </c>
      <c r="G118" s="18" t="str">
        <f aca="false">IF(COUNT(D118:F118)=3,AVERAGE(D118:F118),"")</f>
        <v/>
      </c>
      <c r="H118" s="18" t="str">
        <f aca="false">IF(COUNT(D118:F118)=3,MAX(D118:F118)-MIN(D118:F118),"")</f>
        <v/>
      </c>
      <c r="I118" s="18" t="str">
        <f aca="false">IF(H118="","",IF(H118&gt;1,"RECONCILE","OK"))</f>
        <v/>
      </c>
      <c r="J118" s="18" t="str">
        <f aca="false">IF(G118="","",G118)</f>
        <v/>
      </c>
    </row>
    <row r="119" customFormat="false" ht="15" hidden="false" customHeight="false" outlineLevel="0" collapsed="false">
      <c r="A119" s="18" t="s">
        <v>182</v>
      </c>
      <c r="B119" s="18" t="n">
        <v>3</v>
      </c>
      <c r="C119" s="18" t="s">
        <v>312</v>
      </c>
      <c r="D119" s="18" t="str">
        <f aca="false">4_Scorer_A!G119</f>
        <v/>
      </c>
      <c r="E119" s="18" t="str">
        <f aca="false">4_Scorer_B!G119</f>
        <v/>
      </c>
      <c r="F119" s="18" t="str">
        <f aca="false">4_Scorer_C!G119</f>
        <v/>
      </c>
      <c r="G119" s="18" t="str">
        <f aca="false">IF(COUNT(D119:F119)=3,AVERAGE(D119:F119),"")</f>
        <v/>
      </c>
      <c r="H119" s="18" t="str">
        <f aca="false">IF(COUNT(D119:F119)=3,MAX(D119:F119)-MIN(D119:F119),"")</f>
        <v/>
      </c>
      <c r="I119" s="18" t="str">
        <f aca="false">IF(H119="","",IF(H119&gt;1,"RECONCILE","OK"))</f>
        <v/>
      </c>
      <c r="J119" s="18" t="str">
        <f aca="false">IF(G119="","",G119)</f>
        <v/>
      </c>
    </row>
    <row r="120" customFormat="false" ht="15" hidden="false" customHeight="false" outlineLevel="0" collapsed="false">
      <c r="A120" s="18" t="s">
        <v>182</v>
      </c>
      <c r="B120" s="18" t="n">
        <v>3</v>
      </c>
      <c r="C120" s="18" t="s">
        <v>313</v>
      </c>
      <c r="D120" s="18" t="str">
        <f aca="false">4_Scorer_A!G120</f>
        <v/>
      </c>
      <c r="E120" s="18" t="str">
        <f aca="false">4_Scorer_B!G120</f>
        <v/>
      </c>
      <c r="F120" s="18" t="str">
        <f aca="false">4_Scorer_C!G120</f>
        <v/>
      </c>
      <c r="G120" s="18" t="str">
        <f aca="false">IF(COUNT(D120:F120)=3,AVERAGE(D120:F120),"")</f>
        <v/>
      </c>
      <c r="H120" s="18" t="str">
        <f aca="false">IF(COUNT(D120:F120)=3,MAX(D120:F120)-MIN(D120:F120),"")</f>
        <v/>
      </c>
      <c r="I120" s="18" t="str">
        <f aca="false">IF(H120="","",IF(H120&gt;1,"RECONCILE","OK"))</f>
        <v/>
      </c>
      <c r="J120" s="18" t="str">
        <f aca="false">IF(G120="","",G120)</f>
        <v/>
      </c>
    </row>
    <row r="121" customFormat="false" ht="15" hidden="false" customHeight="false" outlineLevel="0" collapsed="false">
      <c r="A121" s="18" t="s">
        <v>182</v>
      </c>
      <c r="B121" s="18" t="n">
        <v>3</v>
      </c>
      <c r="C121" s="18" t="s">
        <v>314</v>
      </c>
      <c r="D121" s="18" t="str">
        <f aca="false">4_Scorer_A!G121</f>
        <v/>
      </c>
      <c r="E121" s="18" t="str">
        <f aca="false">4_Scorer_B!G121</f>
        <v/>
      </c>
      <c r="F121" s="18" t="str">
        <f aca="false">4_Scorer_C!G121</f>
        <v/>
      </c>
      <c r="G121" s="18" t="str">
        <f aca="false">IF(COUNT(D121:F121)=3,AVERAGE(D121:F121),"")</f>
        <v/>
      </c>
      <c r="H121" s="18" t="str">
        <f aca="false">IF(COUNT(D121:F121)=3,MAX(D121:F121)-MIN(D121:F121),"")</f>
        <v/>
      </c>
      <c r="I121" s="18" t="str">
        <f aca="false">IF(H121="","",IF(H121&gt;1,"RECONCILE","OK"))</f>
        <v/>
      </c>
      <c r="J121" s="18" t="str">
        <f aca="false">IF(G121="","",G121)</f>
        <v/>
      </c>
    </row>
    <row r="122" customFormat="false" ht="15" hidden="false" customHeight="false" outlineLevel="0" collapsed="false">
      <c r="A122" s="18" t="s">
        <v>186</v>
      </c>
      <c r="B122" s="18" t="n">
        <v>4</v>
      </c>
      <c r="C122" s="18" t="s">
        <v>311</v>
      </c>
      <c r="D122" s="18" t="str">
        <f aca="false">4_Scorer_A!G122</f>
        <v/>
      </c>
      <c r="E122" s="18" t="str">
        <f aca="false">4_Scorer_B!G122</f>
        <v/>
      </c>
      <c r="F122" s="18" t="str">
        <f aca="false">4_Scorer_C!G122</f>
        <v/>
      </c>
      <c r="G122" s="18" t="str">
        <f aca="false">IF(COUNT(D122:F122)=3,AVERAGE(D122:F122),"")</f>
        <v/>
      </c>
      <c r="H122" s="18" t="str">
        <f aca="false">IF(COUNT(D122:F122)=3,MAX(D122:F122)-MIN(D122:F122),"")</f>
        <v/>
      </c>
      <c r="I122" s="18" t="str">
        <f aca="false">IF(H122="","",IF(H122&gt;1,"RECONCILE","OK"))</f>
        <v/>
      </c>
      <c r="J122" s="18" t="str">
        <f aca="false">IF(G122="","",G122)</f>
        <v/>
      </c>
    </row>
    <row r="123" customFormat="false" ht="15" hidden="false" customHeight="false" outlineLevel="0" collapsed="false">
      <c r="A123" s="18" t="s">
        <v>186</v>
      </c>
      <c r="B123" s="18" t="n">
        <v>4</v>
      </c>
      <c r="C123" s="18" t="s">
        <v>312</v>
      </c>
      <c r="D123" s="18" t="str">
        <f aca="false">4_Scorer_A!G123</f>
        <v/>
      </c>
      <c r="E123" s="18" t="str">
        <f aca="false">4_Scorer_B!G123</f>
        <v/>
      </c>
      <c r="F123" s="18" t="str">
        <f aca="false">4_Scorer_C!G123</f>
        <v/>
      </c>
      <c r="G123" s="18" t="str">
        <f aca="false">IF(COUNT(D123:F123)=3,AVERAGE(D123:F123),"")</f>
        <v/>
      </c>
      <c r="H123" s="18" t="str">
        <f aca="false">IF(COUNT(D123:F123)=3,MAX(D123:F123)-MIN(D123:F123),"")</f>
        <v/>
      </c>
      <c r="I123" s="18" t="str">
        <f aca="false">IF(H123="","",IF(H123&gt;1,"RECONCILE","OK"))</f>
        <v/>
      </c>
      <c r="J123" s="18" t="str">
        <f aca="false">IF(G123="","",G123)</f>
        <v/>
      </c>
    </row>
    <row r="124" customFormat="false" ht="15" hidden="false" customHeight="false" outlineLevel="0" collapsed="false">
      <c r="A124" s="18" t="s">
        <v>186</v>
      </c>
      <c r="B124" s="18" t="n">
        <v>4</v>
      </c>
      <c r="C124" s="18" t="s">
        <v>313</v>
      </c>
      <c r="D124" s="18" t="str">
        <f aca="false">4_Scorer_A!G124</f>
        <v/>
      </c>
      <c r="E124" s="18" t="str">
        <f aca="false">4_Scorer_B!G124</f>
        <v/>
      </c>
      <c r="F124" s="18" t="str">
        <f aca="false">4_Scorer_C!G124</f>
        <v/>
      </c>
      <c r="G124" s="18" t="str">
        <f aca="false">IF(COUNT(D124:F124)=3,AVERAGE(D124:F124),"")</f>
        <v/>
      </c>
      <c r="H124" s="18" t="str">
        <f aca="false">IF(COUNT(D124:F124)=3,MAX(D124:F124)-MIN(D124:F124),"")</f>
        <v/>
      </c>
      <c r="I124" s="18" t="str">
        <f aca="false">IF(H124="","",IF(H124&gt;1,"RECONCILE","OK"))</f>
        <v/>
      </c>
      <c r="J124" s="18" t="str">
        <f aca="false">IF(G124="","",G124)</f>
        <v/>
      </c>
    </row>
    <row r="125" customFormat="false" ht="15" hidden="false" customHeight="false" outlineLevel="0" collapsed="false">
      <c r="A125" s="18" t="s">
        <v>186</v>
      </c>
      <c r="B125" s="18" t="n">
        <v>4</v>
      </c>
      <c r="C125" s="18" t="s">
        <v>314</v>
      </c>
      <c r="D125" s="18" t="str">
        <f aca="false">4_Scorer_A!G125</f>
        <v/>
      </c>
      <c r="E125" s="18" t="str">
        <f aca="false">4_Scorer_B!G125</f>
        <v/>
      </c>
      <c r="F125" s="18" t="str">
        <f aca="false">4_Scorer_C!G125</f>
        <v/>
      </c>
      <c r="G125" s="18" t="str">
        <f aca="false">IF(COUNT(D125:F125)=3,AVERAGE(D125:F125),"")</f>
        <v/>
      </c>
      <c r="H125" s="18" t="str">
        <f aca="false">IF(COUNT(D125:F125)=3,MAX(D125:F125)-MIN(D125:F125),"")</f>
        <v/>
      </c>
      <c r="I125" s="18" t="str">
        <f aca="false">IF(H125="","",IF(H125&gt;1,"RECONCILE","OK"))</f>
        <v/>
      </c>
      <c r="J125" s="18" t="str">
        <f aca="false">IF(G125="","",G125)</f>
        <v/>
      </c>
    </row>
    <row r="126" customFormat="false" ht="15" hidden="false" customHeight="false" outlineLevel="0" collapsed="false">
      <c r="A126" s="18" t="s">
        <v>191</v>
      </c>
      <c r="B126" s="18" t="n">
        <v>4</v>
      </c>
      <c r="C126" s="18" t="s">
        <v>311</v>
      </c>
      <c r="D126" s="18" t="str">
        <f aca="false">4_Scorer_A!G126</f>
        <v/>
      </c>
      <c r="E126" s="18" t="str">
        <f aca="false">4_Scorer_B!G126</f>
        <v/>
      </c>
      <c r="F126" s="18" t="str">
        <f aca="false">4_Scorer_C!G126</f>
        <v/>
      </c>
      <c r="G126" s="18" t="str">
        <f aca="false">IF(COUNT(D126:F126)=3,AVERAGE(D126:F126),"")</f>
        <v/>
      </c>
      <c r="H126" s="18" t="str">
        <f aca="false">IF(COUNT(D126:F126)=3,MAX(D126:F126)-MIN(D126:F126),"")</f>
        <v/>
      </c>
      <c r="I126" s="18" t="str">
        <f aca="false">IF(H126="","",IF(H126&gt;1,"RECONCILE","OK"))</f>
        <v/>
      </c>
      <c r="J126" s="18" t="str">
        <f aca="false">IF(G126="","",G126)</f>
        <v/>
      </c>
    </row>
    <row r="127" customFormat="false" ht="15" hidden="false" customHeight="false" outlineLevel="0" collapsed="false">
      <c r="A127" s="18" t="s">
        <v>191</v>
      </c>
      <c r="B127" s="18" t="n">
        <v>4</v>
      </c>
      <c r="C127" s="18" t="s">
        <v>312</v>
      </c>
      <c r="D127" s="18" t="str">
        <f aca="false">4_Scorer_A!G127</f>
        <v/>
      </c>
      <c r="E127" s="18" t="str">
        <f aca="false">4_Scorer_B!G127</f>
        <v/>
      </c>
      <c r="F127" s="18" t="str">
        <f aca="false">4_Scorer_C!G127</f>
        <v/>
      </c>
      <c r="G127" s="18" t="str">
        <f aca="false">IF(COUNT(D127:F127)=3,AVERAGE(D127:F127),"")</f>
        <v/>
      </c>
      <c r="H127" s="18" t="str">
        <f aca="false">IF(COUNT(D127:F127)=3,MAX(D127:F127)-MIN(D127:F127),"")</f>
        <v/>
      </c>
      <c r="I127" s="18" t="str">
        <f aca="false">IF(H127="","",IF(H127&gt;1,"RECONCILE","OK"))</f>
        <v/>
      </c>
      <c r="J127" s="18" t="str">
        <f aca="false">IF(G127="","",G127)</f>
        <v/>
      </c>
    </row>
    <row r="128" customFormat="false" ht="15" hidden="false" customHeight="false" outlineLevel="0" collapsed="false">
      <c r="A128" s="18" t="s">
        <v>191</v>
      </c>
      <c r="B128" s="18" t="n">
        <v>4</v>
      </c>
      <c r="C128" s="18" t="s">
        <v>313</v>
      </c>
      <c r="D128" s="18" t="str">
        <f aca="false">4_Scorer_A!G128</f>
        <v/>
      </c>
      <c r="E128" s="18" t="str">
        <f aca="false">4_Scorer_B!G128</f>
        <v/>
      </c>
      <c r="F128" s="18" t="str">
        <f aca="false">4_Scorer_C!G128</f>
        <v/>
      </c>
      <c r="G128" s="18" t="str">
        <f aca="false">IF(COUNT(D128:F128)=3,AVERAGE(D128:F128),"")</f>
        <v/>
      </c>
      <c r="H128" s="18" t="str">
        <f aca="false">IF(COUNT(D128:F128)=3,MAX(D128:F128)-MIN(D128:F128),"")</f>
        <v/>
      </c>
      <c r="I128" s="18" t="str">
        <f aca="false">IF(H128="","",IF(H128&gt;1,"RECONCILE","OK"))</f>
        <v/>
      </c>
      <c r="J128" s="18" t="str">
        <f aca="false">IF(G128="","",G128)</f>
        <v/>
      </c>
    </row>
    <row r="129" customFormat="false" ht="15" hidden="false" customHeight="false" outlineLevel="0" collapsed="false">
      <c r="A129" s="18" t="s">
        <v>191</v>
      </c>
      <c r="B129" s="18" t="n">
        <v>4</v>
      </c>
      <c r="C129" s="18" t="s">
        <v>314</v>
      </c>
      <c r="D129" s="18" t="str">
        <f aca="false">4_Scorer_A!G129</f>
        <v/>
      </c>
      <c r="E129" s="18" t="str">
        <f aca="false">4_Scorer_B!G129</f>
        <v/>
      </c>
      <c r="F129" s="18" t="str">
        <f aca="false">4_Scorer_C!G129</f>
        <v/>
      </c>
      <c r="G129" s="18" t="str">
        <f aca="false">IF(COUNT(D129:F129)=3,AVERAGE(D129:F129),"")</f>
        <v/>
      </c>
      <c r="H129" s="18" t="str">
        <f aca="false">IF(COUNT(D129:F129)=3,MAX(D129:F129)-MIN(D129:F129),"")</f>
        <v/>
      </c>
      <c r="I129" s="18" t="str">
        <f aca="false">IF(H129="","",IF(H129&gt;1,"RECONCILE","OK"))</f>
        <v/>
      </c>
      <c r="J129" s="18" t="str">
        <f aca="false">IF(G129="","",G129)</f>
        <v/>
      </c>
    </row>
    <row r="130" customFormat="false" ht="15" hidden="false" customHeight="false" outlineLevel="0" collapsed="false">
      <c r="A130" s="18" t="s">
        <v>195</v>
      </c>
      <c r="B130" s="18" t="n">
        <v>4</v>
      </c>
      <c r="C130" s="18" t="s">
        <v>311</v>
      </c>
      <c r="D130" s="18" t="str">
        <f aca="false">4_Scorer_A!G130</f>
        <v/>
      </c>
      <c r="E130" s="18" t="str">
        <f aca="false">4_Scorer_B!G130</f>
        <v/>
      </c>
      <c r="F130" s="18" t="str">
        <f aca="false">4_Scorer_C!G130</f>
        <v/>
      </c>
      <c r="G130" s="18" t="str">
        <f aca="false">IF(COUNT(D130:F130)=3,AVERAGE(D130:F130),"")</f>
        <v/>
      </c>
      <c r="H130" s="18" t="str">
        <f aca="false">IF(COUNT(D130:F130)=3,MAX(D130:F130)-MIN(D130:F130),"")</f>
        <v/>
      </c>
      <c r="I130" s="18" t="str">
        <f aca="false">IF(H130="","",IF(H130&gt;1,"RECONCILE","OK"))</f>
        <v/>
      </c>
      <c r="J130" s="18" t="str">
        <f aca="false">IF(G130="","",G130)</f>
        <v/>
      </c>
    </row>
    <row r="131" customFormat="false" ht="15" hidden="false" customHeight="false" outlineLevel="0" collapsed="false">
      <c r="A131" s="18" t="s">
        <v>195</v>
      </c>
      <c r="B131" s="18" t="n">
        <v>4</v>
      </c>
      <c r="C131" s="18" t="s">
        <v>312</v>
      </c>
      <c r="D131" s="18" t="str">
        <f aca="false">4_Scorer_A!G131</f>
        <v/>
      </c>
      <c r="E131" s="18" t="str">
        <f aca="false">4_Scorer_B!G131</f>
        <v/>
      </c>
      <c r="F131" s="18" t="str">
        <f aca="false">4_Scorer_C!G131</f>
        <v/>
      </c>
      <c r="G131" s="18" t="str">
        <f aca="false">IF(COUNT(D131:F131)=3,AVERAGE(D131:F131),"")</f>
        <v/>
      </c>
      <c r="H131" s="18" t="str">
        <f aca="false">IF(COUNT(D131:F131)=3,MAX(D131:F131)-MIN(D131:F131),"")</f>
        <v/>
      </c>
      <c r="I131" s="18" t="str">
        <f aca="false">IF(H131="","",IF(H131&gt;1,"RECONCILE","OK"))</f>
        <v/>
      </c>
      <c r="J131" s="18" t="str">
        <f aca="false">IF(G131="","",G131)</f>
        <v/>
      </c>
    </row>
    <row r="132" customFormat="false" ht="15" hidden="false" customHeight="false" outlineLevel="0" collapsed="false">
      <c r="A132" s="18" t="s">
        <v>195</v>
      </c>
      <c r="B132" s="18" t="n">
        <v>4</v>
      </c>
      <c r="C132" s="18" t="s">
        <v>313</v>
      </c>
      <c r="D132" s="18" t="str">
        <f aca="false">4_Scorer_A!G132</f>
        <v/>
      </c>
      <c r="E132" s="18" t="str">
        <f aca="false">4_Scorer_B!G132</f>
        <v/>
      </c>
      <c r="F132" s="18" t="str">
        <f aca="false">4_Scorer_C!G132</f>
        <v/>
      </c>
      <c r="G132" s="18" t="str">
        <f aca="false">IF(COUNT(D132:F132)=3,AVERAGE(D132:F132),"")</f>
        <v/>
      </c>
      <c r="H132" s="18" t="str">
        <f aca="false">IF(COUNT(D132:F132)=3,MAX(D132:F132)-MIN(D132:F132),"")</f>
        <v/>
      </c>
      <c r="I132" s="18" t="str">
        <f aca="false">IF(H132="","",IF(H132&gt;1,"RECONCILE","OK"))</f>
        <v/>
      </c>
      <c r="J132" s="18" t="str">
        <f aca="false">IF(G132="","",G132)</f>
        <v/>
      </c>
    </row>
    <row r="133" customFormat="false" ht="15" hidden="false" customHeight="false" outlineLevel="0" collapsed="false">
      <c r="A133" s="18" t="s">
        <v>195</v>
      </c>
      <c r="B133" s="18" t="n">
        <v>4</v>
      </c>
      <c r="C133" s="18" t="s">
        <v>314</v>
      </c>
      <c r="D133" s="18" t="str">
        <f aca="false">4_Scorer_A!G133</f>
        <v/>
      </c>
      <c r="E133" s="18" t="str">
        <f aca="false">4_Scorer_B!G133</f>
        <v/>
      </c>
      <c r="F133" s="18" t="str">
        <f aca="false">4_Scorer_C!G133</f>
        <v/>
      </c>
      <c r="G133" s="18" t="str">
        <f aca="false">IF(COUNT(D133:F133)=3,AVERAGE(D133:F133),"")</f>
        <v/>
      </c>
      <c r="H133" s="18" t="str">
        <f aca="false">IF(COUNT(D133:F133)=3,MAX(D133:F133)-MIN(D133:F133),"")</f>
        <v/>
      </c>
      <c r="I133" s="18" t="str">
        <f aca="false">IF(H133="","",IF(H133&gt;1,"RECONCILE","OK"))</f>
        <v/>
      </c>
      <c r="J133" s="18" t="str">
        <f aca="false">IF(G133="","",G133)</f>
        <v/>
      </c>
    </row>
    <row r="134" customFormat="false" ht="15" hidden="false" customHeight="false" outlineLevel="0" collapsed="false">
      <c r="A134" s="18" t="s">
        <v>199</v>
      </c>
      <c r="B134" s="18" t="n">
        <v>4</v>
      </c>
      <c r="C134" s="18" t="s">
        <v>311</v>
      </c>
      <c r="D134" s="18" t="str">
        <f aca="false">4_Scorer_A!G134</f>
        <v/>
      </c>
      <c r="E134" s="18" t="str">
        <f aca="false">4_Scorer_B!G134</f>
        <v/>
      </c>
      <c r="F134" s="18" t="str">
        <f aca="false">4_Scorer_C!G134</f>
        <v/>
      </c>
      <c r="G134" s="18" t="str">
        <f aca="false">IF(COUNT(D134:F134)=3,AVERAGE(D134:F134),"")</f>
        <v/>
      </c>
      <c r="H134" s="18" t="str">
        <f aca="false">IF(COUNT(D134:F134)=3,MAX(D134:F134)-MIN(D134:F134),"")</f>
        <v/>
      </c>
      <c r="I134" s="18" t="str">
        <f aca="false">IF(H134="","",IF(H134&gt;1,"RECONCILE","OK"))</f>
        <v/>
      </c>
      <c r="J134" s="18" t="str">
        <f aca="false">IF(G134="","",G134)</f>
        <v/>
      </c>
    </row>
    <row r="135" customFormat="false" ht="15" hidden="false" customHeight="false" outlineLevel="0" collapsed="false">
      <c r="A135" s="18" t="s">
        <v>199</v>
      </c>
      <c r="B135" s="18" t="n">
        <v>4</v>
      </c>
      <c r="C135" s="18" t="s">
        <v>312</v>
      </c>
      <c r="D135" s="18" t="str">
        <f aca="false">4_Scorer_A!G135</f>
        <v/>
      </c>
      <c r="E135" s="18" t="str">
        <f aca="false">4_Scorer_B!G135</f>
        <v/>
      </c>
      <c r="F135" s="18" t="str">
        <f aca="false">4_Scorer_C!G135</f>
        <v/>
      </c>
      <c r="G135" s="18" t="str">
        <f aca="false">IF(COUNT(D135:F135)=3,AVERAGE(D135:F135),"")</f>
        <v/>
      </c>
      <c r="H135" s="18" t="str">
        <f aca="false">IF(COUNT(D135:F135)=3,MAX(D135:F135)-MIN(D135:F135),"")</f>
        <v/>
      </c>
      <c r="I135" s="18" t="str">
        <f aca="false">IF(H135="","",IF(H135&gt;1,"RECONCILE","OK"))</f>
        <v/>
      </c>
      <c r="J135" s="18" t="str">
        <f aca="false">IF(G135="","",G135)</f>
        <v/>
      </c>
    </row>
    <row r="136" customFormat="false" ht="15" hidden="false" customHeight="false" outlineLevel="0" collapsed="false">
      <c r="A136" s="18" t="s">
        <v>199</v>
      </c>
      <c r="B136" s="18" t="n">
        <v>4</v>
      </c>
      <c r="C136" s="18" t="s">
        <v>313</v>
      </c>
      <c r="D136" s="18" t="str">
        <f aca="false">4_Scorer_A!G136</f>
        <v/>
      </c>
      <c r="E136" s="18" t="str">
        <f aca="false">4_Scorer_B!G136</f>
        <v/>
      </c>
      <c r="F136" s="18" t="str">
        <f aca="false">4_Scorer_C!G136</f>
        <v/>
      </c>
      <c r="G136" s="18" t="str">
        <f aca="false">IF(COUNT(D136:F136)=3,AVERAGE(D136:F136),"")</f>
        <v/>
      </c>
      <c r="H136" s="18" t="str">
        <f aca="false">IF(COUNT(D136:F136)=3,MAX(D136:F136)-MIN(D136:F136),"")</f>
        <v/>
      </c>
      <c r="I136" s="18" t="str">
        <f aca="false">IF(H136="","",IF(H136&gt;1,"RECONCILE","OK"))</f>
        <v/>
      </c>
      <c r="J136" s="18" t="str">
        <f aca="false">IF(G136="","",G136)</f>
        <v/>
      </c>
    </row>
    <row r="137" customFormat="false" ht="15" hidden="false" customHeight="false" outlineLevel="0" collapsed="false">
      <c r="A137" s="18" t="s">
        <v>199</v>
      </c>
      <c r="B137" s="18" t="n">
        <v>4</v>
      </c>
      <c r="C137" s="18" t="s">
        <v>314</v>
      </c>
      <c r="D137" s="18" t="str">
        <f aca="false">4_Scorer_A!G137</f>
        <v/>
      </c>
      <c r="E137" s="18" t="str">
        <f aca="false">4_Scorer_B!G137</f>
        <v/>
      </c>
      <c r="F137" s="18" t="str">
        <f aca="false">4_Scorer_C!G137</f>
        <v/>
      </c>
      <c r="G137" s="18" t="str">
        <f aca="false">IF(COUNT(D137:F137)=3,AVERAGE(D137:F137),"")</f>
        <v/>
      </c>
      <c r="H137" s="18" t="str">
        <f aca="false">IF(COUNT(D137:F137)=3,MAX(D137:F137)-MIN(D137:F137),"")</f>
        <v/>
      </c>
      <c r="I137" s="18" t="str">
        <f aca="false">IF(H137="","",IF(H137&gt;1,"RECONCILE","OK"))</f>
        <v/>
      </c>
      <c r="J137" s="18" t="str">
        <f aca="false">IF(G137="","",G137)</f>
        <v/>
      </c>
    </row>
    <row r="138" customFormat="false" ht="15" hidden="false" customHeight="false" outlineLevel="0" collapsed="false">
      <c r="A138" s="18" t="s">
        <v>202</v>
      </c>
      <c r="B138" s="18" t="n">
        <v>4</v>
      </c>
      <c r="C138" s="18" t="s">
        <v>311</v>
      </c>
      <c r="D138" s="18" t="str">
        <f aca="false">4_Scorer_A!G138</f>
        <v/>
      </c>
      <c r="E138" s="18" t="str">
        <f aca="false">4_Scorer_B!G138</f>
        <v/>
      </c>
      <c r="F138" s="18" t="str">
        <f aca="false">4_Scorer_C!G138</f>
        <v/>
      </c>
      <c r="G138" s="18" t="str">
        <f aca="false">IF(COUNT(D138:F138)=3,AVERAGE(D138:F138),"")</f>
        <v/>
      </c>
      <c r="H138" s="18" t="str">
        <f aca="false">IF(COUNT(D138:F138)=3,MAX(D138:F138)-MIN(D138:F138),"")</f>
        <v/>
      </c>
      <c r="I138" s="18" t="str">
        <f aca="false">IF(H138="","",IF(H138&gt;1,"RECONCILE","OK"))</f>
        <v/>
      </c>
      <c r="J138" s="18" t="str">
        <f aca="false">IF(G138="","",G138)</f>
        <v/>
      </c>
    </row>
    <row r="139" customFormat="false" ht="15" hidden="false" customHeight="false" outlineLevel="0" collapsed="false">
      <c r="A139" s="18" t="s">
        <v>202</v>
      </c>
      <c r="B139" s="18" t="n">
        <v>4</v>
      </c>
      <c r="C139" s="18" t="s">
        <v>312</v>
      </c>
      <c r="D139" s="18" t="str">
        <f aca="false">4_Scorer_A!G139</f>
        <v/>
      </c>
      <c r="E139" s="18" t="str">
        <f aca="false">4_Scorer_B!G139</f>
        <v/>
      </c>
      <c r="F139" s="18" t="str">
        <f aca="false">4_Scorer_C!G139</f>
        <v/>
      </c>
      <c r="G139" s="18" t="str">
        <f aca="false">IF(COUNT(D139:F139)=3,AVERAGE(D139:F139),"")</f>
        <v/>
      </c>
      <c r="H139" s="18" t="str">
        <f aca="false">IF(COUNT(D139:F139)=3,MAX(D139:F139)-MIN(D139:F139),"")</f>
        <v/>
      </c>
      <c r="I139" s="18" t="str">
        <f aca="false">IF(H139="","",IF(H139&gt;1,"RECONCILE","OK"))</f>
        <v/>
      </c>
      <c r="J139" s="18" t="str">
        <f aca="false">IF(G139="","",G139)</f>
        <v/>
      </c>
    </row>
    <row r="140" customFormat="false" ht="15" hidden="false" customHeight="false" outlineLevel="0" collapsed="false">
      <c r="A140" s="18" t="s">
        <v>202</v>
      </c>
      <c r="B140" s="18" t="n">
        <v>4</v>
      </c>
      <c r="C140" s="18" t="s">
        <v>313</v>
      </c>
      <c r="D140" s="18" t="str">
        <f aca="false">4_Scorer_A!G140</f>
        <v/>
      </c>
      <c r="E140" s="18" t="str">
        <f aca="false">4_Scorer_B!G140</f>
        <v/>
      </c>
      <c r="F140" s="18" t="str">
        <f aca="false">4_Scorer_C!G140</f>
        <v/>
      </c>
      <c r="G140" s="18" t="str">
        <f aca="false">IF(COUNT(D140:F140)=3,AVERAGE(D140:F140),"")</f>
        <v/>
      </c>
      <c r="H140" s="18" t="str">
        <f aca="false">IF(COUNT(D140:F140)=3,MAX(D140:F140)-MIN(D140:F140),"")</f>
        <v/>
      </c>
      <c r="I140" s="18" t="str">
        <f aca="false">IF(H140="","",IF(H140&gt;1,"RECONCILE","OK"))</f>
        <v/>
      </c>
      <c r="J140" s="18" t="str">
        <f aca="false">IF(G140="","",G140)</f>
        <v/>
      </c>
    </row>
    <row r="141" customFormat="false" ht="15" hidden="false" customHeight="false" outlineLevel="0" collapsed="false">
      <c r="A141" s="18" t="s">
        <v>202</v>
      </c>
      <c r="B141" s="18" t="n">
        <v>4</v>
      </c>
      <c r="C141" s="18" t="s">
        <v>314</v>
      </c>
      <c r="D141" s="18" t="str">
        <f aca="false">4_Scorer_A!G141</f>
        <v/>
      </c>
      <c r="E141" s="18" t="str">
        <f aca="false">4_Scorer_B!G141</f>
        <v/>
      </c>
      <c r="F141" s="18" t="str">
        <f aca="false">4_Scorer_C!G141</f>
        <v/>
      </c>
      <c r="G141" s="18" t="str">
        <f aca="false">IF(COUNT(D141:F141)=3,AVERAGE(D141:F141),"")</f>
        <v/>
      </c>
      <c r="H141" s="18" t="str">
        <f aca="false">IF(COUNT(D141:F141)=3,MAX(D141:F141)-MIN(D141:F141),"")</f>
        <v/>
      </c>
      <c r="I141" s="18" t="str">
        <f aca="false">IF(H141="","",IF(H141&gt;1,"RECONCILE","OK"))</f>
        <v/>
      </c>
      <c r="J141" s="18" t="str">
        <f aca="false">IF(G141="","",G141)</f>
        <v/>
      </c>
    </row>
    <row r="142" customFormat="false" ht="15" hidden="false" customHeight="false" outlineLevel="0" collapsed="false">
      <c r="A142" s="18" t="s">
        <v>206</v>
      </c>
      <c r="B142" s="18" t="n">
        <v>4</v>
      </c>
      <c r="C142" s="18" t="s">
        <v>311</v>
      </c>
      <c r="D142" s="18" t="str">
        <f aca="false">4_Scorer_A!G142</f>
        <v/>
      </c>
      <c r="E142" s="18" t="str">
        <f aca="false">4_Scorer_B!G142</f>
        <v/>
      </c>
      <c r="F142" s="18" t="str">
        <f aca="false">4_Scorer_C!G142</f>
        <v/>
      </c>
      <c r="G142" s="18" t="str">
        <f aca="false">IF(COUNT(D142:F142)=3,AVERAGE(D142:F142),"")</f>
        <v/>
      </c>
      <c r="H142" s="18" t="str">
        <f aca="false">IF(COUNT(D142:F142)=3,MAX(D142:F142)-MIN(D142:F142),"")</f>
        <v/>
      </c>
      <c r="I142" s="18" t="str">
        <f aca="false">IF(H142="","",IF(H142&gt;1,"RECONCILE","OK"))</f>
        <v/>
      </c>
      <c r="J142" s="18" t="str">
        <f aca="false">IF(G142="","",G142)</f>
        <v/>
      </c>
    </row>
    <row r="143" customFormat="false" ht="15" hidden="false" customHeight="false" outlineLevel="0" collapsed="false">
      <c r="A143" s="18" t="s">
        <v>206</v>
      </c>
      <c r="B143" s="18" t="n">
        <v>4</v>
      </c>
      <c r="C143" s="18" t="s">
        <v>312</v>
      </c>
      <c r="D143" s="18" t="str">
        <f aca="false">4_Scorer_A!G143</f>
        <v/>
      </c>
      <c r="E143" s="18" t="str">
        <f aca="false">4_Scorer_B!G143</f>
        <v/>
      </c>
      <c r="F143" s="18" t="str">
        <f aca="false">4_Scorer_C!G143</f>
        <v/>
      </c>
      <c r="G143" s="18" t="str">
        <f aca="false">IF(COUNT(D143:F143)=3,AVERAGE(D143:F143),"")</f>
        <v/>
      </c>
      <c r="H143" s="18" t="str">
        <f aca="false">IF(COUNT(D143:F143)=3,MAX(D143:F143)-MIN(D143:F143),"")</f>
        <v/>
      </c>
      <c r="I143" s="18" t="str">
        <f aca="false">IF(H143="","",IF(H143&gt;1,"RECONCILE","OK"))</f>
        <v/>
      </c>
      <c r="J143" s="18" t="str">
        <f aca="false">IF(G143="","",G143)</f>
        <v/>
      </c>
    </row>
    <row r="144" customFormat="false" ht="15" hidden="false" customHeight="false" outlineLevel="0" collapsed="false">
      <c r="A144" s="18" t="s">
        <v>206</v>
      </c>
      <c r="B144" s="18" t="n">
        <v>4</v>
      </c>
      <c r="C144" s="18" t="s">
        <v>313</v>
      </c>
      <c r="D144" s="18" t="str">
        <f aca="false">4_Scorer_A!G144</f>
        <v/>
      </c>
      <c r="E144" s="18" t="str">
        <f aca="false">4_Scorer_B!G144</f>
        <v/>
      </c>
      <c r="F144" s="18" t="str">
        <f aca="false">4_Scorer_C!G144</f>
        <v/>
      </c>
      <c r="G144" s="18" t="str">
        <f aca="false">IF(COUNT(D144:F144)=3,AVERAGE(D144:F144),"")</f>
        <v/>
      </c>
      <c r="H144" s="18" t="str">
        <f aca="false">IF(COUNT(D144:F144)=3,MAX(D144:F144)-MIN(D144:F144),"")</f>
        <v/>
      </c>
      <c r="I144" s="18" t="str">
        <f aca="false">IF(H144="","",IF(H144&gt;1,"RECONCILE","OK"))</f>
        <v/>
      </c>
      <c r="J144" s="18" t="str">
        <f aca="false">IF(G144="","",G144)</f>
        <v/>
      </c>
    </row>
    <row r="145" customFormat="false" ht="15" hidden="false" customHeight="false" outlineLevel="0" collapsed="false">
      <c r="A145" s="18" t="s">
        <v>206</v>
      </c>
      <c r="B145" s="18" t="n">
        <v>4</v>
      </c>
      <c r="C145" s="18" t="s">
        <v>314</v>
      </c>
      <c r="D145" s="18" t="str">
        <f aca="false">4_Scorer_A!G145</f>
        <v/>
      </c>
      <c r="E145" s="18" t="str">
        <f aca="false">4_Scorer_B!G145</f>
        <v/>
      </c>
      <c r="F145" s="18" t="str">
        <f aca="false">4_Scorer_C!G145</f>
        <v/>
      </c>
      <c r="G145" s="18" t="str">
        <f aca="false">IF(COUNT(D145:F145)=3,AVERAGE(D145:F145),"")</f>
        <v/>
      </c>
      <c r="H145" s="18" t="str">
        <f aca="false">IF(COUNT(D145:F145)=3,MAX(D145:F145)-MIN(D145:F145),"")</f>
        <v/>
      </c>
      <c r="I145" s="18" t="str">
        <f aca="false">IF(H145="","",IF(H145&gt;1,"RECONCILE","OK"))</f>
        <v/>
      </c>
      <c r="J145" s="18" t="str">
        <f aca="false">IF(G145="","",G145)</f>
        <v/>
      </c>
    </row>
    <row r="146" customFormat="false" ht="15" hidden="false" customHeight="false" outlineLevel="0" collapsed="false">
      <c r="A146" s="18" t="s">
        <v>210</v>
      </c>
      <c r="B146" s="18" t="n">
        <v>4</v>
      </c>
      <c r="C146" s="18" t="s">
        <v>311</v>
      </c>
      <c r="D146" s="18" t="str">
        <f aca="false">4_Scorer_A!G146</f>
        <v/>
      </c>
      <c r="E146" s="18" t="str">
        <f aca="false">4_Scorer_B!G146</f>
        <v/>
      </c>
      <c r="F146" s="18" t="str">
        <f aca="false">4_Scorer_C!G146</f>
        <v/>
      </c>
      <c r="G146" s="18" t="str">
        <f aca="false">IF(COUNT(D146:F146)=3,AVERAGE(D146:F146),"")</f>
        <v/>
      </c>
      <c r="H146" s="18" t="str">
        <f aca="false">IF(COUNT(D146:F146)=3,MAX(D146:F146)-MIN(D146:F146),"")</f>
        <v/>
      </c>
      <c r="I146" s="18" t="str">
        <f aca="false">IF(H146="","",IF(H146&gt;1,"RECONCILE","OK"))</f>
        <v/>
      </c>
      <c r="J146" s="18" t="str">
        <f aca="false">IF(G146="","",G146)</f>
        <v/>
      </c>
    </row>
    <row r="147" customFormat="false" ht="15" hidden="false" customHeight="false" outlineLevel="0" collapsed="false">
      <c r="A147" s="18" t="s">
        <v>210</v>
      </c>
      <c r="B147" s="18" t="n">
        <v>4</v>
      </c>
      <c r="C147" s="18" t="s">
        <v>312</v>
      </c>
      <c r="D147" s="18" t="str">
        <f aca="false">4_Scorer_A!G147</f>
        <v/>
      </c>
      <c r="E147" s="18" t="str">
        <f aca="false">4_Scorer_B!G147</f>
        <v/>
      </c>
      <c r="F147" s="18" t="str">
        <f aca="false">4_Scorer_C!G147</f>
        <v/>
      </c>
      <c r="G147" s="18" t="str">
        <f aca="false">IF(COUNT(D147:F147)=3,AVERAGE(D147:F147),"")</f>
        <v/>
      </c>
      <c r="H147" s="18" t="str">
        <f aca="false">IF(COUNT(D147:F147)=3,MAX(D147:F147)-MIN(D147:F147),"")</f>
        <v/>
      </c>
      <c r="I147" s="18" t="str">
        <f aca="false">IF(H147="","",IF(H147&gt;1,"RECONCILE","OK"))</f>
        <v/>
      </c>
      <c r="J147" s="18" t="str">
        <f aca="false">IF(G147="","",G147)</f>
        <v/>
      </c>
    </row>
    <row r="148" customFormat="false" ht="15" hidden="false" customHeight="false" outlineLevel="0" collapsed="false">
      <c r="A148" s="18" t="s">
        <v>210</v>
      </c>
      <c r="B148" s="18" t="n">
        <v>4</v>
      </c>
      <c r="C148" s="18" t="s">
        <v>313</v>
      </c>
      <c r="D148" s="18" t="str">
        <f aca="false">4_Scorer_A!G148</f>
        <v/>
      </c>
      <c r="E148" s="18" t="str">
        <f aca="false">4_Scorer_B!G148</f>
        <v/>
      </c>
      <c r="F148" s="18" t="str">
        <f aca="false">4_Scorer_C!G148</f>
        <v/>
      </c>
      <c r="G148" s="18" t="str">
        <f aca="false">IF(COUNT(D148:F148)=3,AVERAGE(D148:F148),"")</f>
        <v/>
      </c>
      <c r="H148" s="18" t="str">
        <f aca="false">IF(COUNT(D148:F148)=3,MAX(D148:F148)-MIN(D148:F148),"")</f>
        <v/>
      </c>
      <c r="I148" s="18" t="str">
        <f aca="false">IF(H148="","",IF(H148&gt;1,"RECONCILE","OK"))</f>
        <v/>
      </c>
      <c r="J148" s="18" t="str">
        <f aca="false">IF(G148="","",G148)</f>
        <v/>
      </c>
    </row>
    <row r="149" customFormat="false" ht="15" hidden="false" customHeight="false" outlineLevel="0" collapsed="false">
      <c r="A149" s="18" t="s">
        <v>210</v>
      </c>
      <c r="B149" s="18" t="n">
        <v>4</v>
      </c>
      <c r="C149" s="18" t="s">
        <v>314</v>
      </c>
      <c r="D149" s="18" t="str">
        <f aca="false">4_Scorer_A!G149</f>
        <v/>
      </c>
      <c r="E149" s="18" t="str">
        <f aca="false">4_Scorer_B!G149</f>
        <v/>
      </c>
      <c r="F149" s="18" t="str">
        <f aca="false">4_Scorer_C!G149</f>
        <v/>
      </c>
      <c r="G149" s="18" t="str">
        <f aca="false">IF(COUNT(D149:F149)=3,AVERAGE(D149:F149),"")</f>
        <v/>
      </c>
      <c r="H149" s="18" t="str">
        <f aca="false">IF(COUNT(D149:F149)=3,MAX(D149:F149)-MIN(D149:F149),"")</f>
        <v/>
      </c>
      <c r="I149" s="18" t="str">
        <f aca="false">IF(H149="","",IF(H149&gt;1,"RECONCILE","OK"))</f>
        <v/>
      </c>
      <c r="J149" s="18" t="str">
        <f aca="false">IF(G149="","",G149)</f>
        <v/>
      </c>
    </row>
    <row r="150" customFormat="false" ht="15" hidden="false" customHeight="false" outlineLevel="0" collapsed="false">
      <c r="A150" s="18" t="s">
        <v>214</v>
      </c>
      <c r="B150" s="18" t="n">
        <v>4</v>
      </c>
      <c r="C150" s="18" t="s">
        <v>311</v>
      </c>
      <c r="D150" s="18" t="str">
        <f aca="false">4_Scorer_A!G150</f>
        <v/>
      </c>
      <c r="E150" s="18" t="str">
        <f aca="false">4_Scorer_B!G150</f>
        <v/>
      </c>
      <c r="F150" s="18" t="str">
        <f aca="false">4_Scorer_C!G150</f>
        <v/>
      </c>
      <c r="G150" s="18" t="str">
        <f aca="false">IF(COUNT(D150:F150)=3,AVERAGE(D150:F150),"")</f>
        <v/>
      </c>
      <c r="H150" s="18" t="str">
        <f aca="false">IF(COUNT(D150:F150)=3,MAX(D150:F150)-MIN(D150:F150),"")</f>
        <v/>
      </c>
      <c r="I150" s="18" t="str">
        <f aca="false">IF(H150="","",IF(H150&gt;1,"RECONCILE","OK"))</f>
        <v/>
      </c>
      <c r="J150" s="18" t="str">
        <f aca="false">IF(G150="","",G150)</f>
        <v/>
      </c>
    </row>
    <row r="151" customFormat="false" ht="15" hidden="false" customHeight="false" outlineLevel="0" collapsed="false">
      <c r="A151" s="18" t="s">
        <v>214</v>
      </c>
      <c r="B151" s="18" t="n">
        <v>4</v>
      </c>
      <c r="C151" s="18" t="s">
        <v>312</v>
      </c>
      <c r="D151" s="18" t="str">
        <f aca="false">4_Scorer_A!G151</f>
        <v/>
      </c>
      <c r="E151" s="18" t="str">
        <f aca="false">4_Scorer_B!G151</f>
        <v/>
      </c>
      <c r="F151" s="18" t="str">
        <f aca="false">4_Scorer_C!G151</f>
        <v/>
      </c>
      <c r="G151" s="18" t="str">
        <f aca="false">IF(COUNT(D151:F151)=3,AVERAGE(D151:F151),"")</f>
        <v/>
      </c>
      <c r="H151" s="18" t="str">
        <f aca="false">IF(COUNT(D151:F151)=3,MAX(D151:F151)-MIN(D151:F151),"")</f>
        <v/>
      </c>
      <c r="I151" s="18" t="str">
        <f aca="false">IF(H151="","",IF(H151&gt;1,"RECONCILE","OK"))</f>
        <v/>
      </c>
      <c r="J151" s="18" t="str">
        <f aca="false">IF(G151="","",G151)</f>
        <v/>
      </c>
    </row>
    <row r="152" customFormat="false" ht="15" hidden="false" customHeight="false" outlineLevel="0" collapsed="false">
      <c r="A152" s="18" t="s">
        <v>214</v>
      </c>
      <c r="B152" s="18" t="n">
        <v>4</v>
      </c>
      <c r="C152" s="18" t="s">
        <v>313</v>
      </c>
      <c r="D152" s="18" t="str">
        <f aca="false">4_Scorer_A!G152</f>
        <v/>
      </c>
      <c r="E152" s="18" t="str">
        <f aca="false">4_Scorer_B!G152</f>
        <v/>
      </c>
      <c r="F152" s="18" t="str">
        <f aca="false">4_Scorer_C!G152</f>
        <v/>
      </c>
      <c r="G152" s="18" t="str">
        <f aca="false">IF(COUNT(D152:F152)=3,AVERAGE(D152:F152),"")</f>
        <v/>
      </c>
      <c r="H152" s="18" t="str">
        <f aca="false">IF(COUNT(D152:F152)=3,MAX(D152:F152)-MIN(D152:F152),"")</f>
        <v/>
      </c>
      <c r="I152" s="18" t="str">
        <f aca="false">IF(H152="","",IF(H152&gt;1,"RECONCILE","OK"))</f>
        <v/>
      </c>
      <c r="J152" s="18" t="str">
        <f aca="false">IF(G152="","",G152)</f>
        <v/>
      </c>
    </row>
    <row r="153" customFormat="false" ht="15" hidden="false" customHeight="false" outlineLevel="0" collapsed="false">
      <c r="A153" s="18" t="s">
        <v>214</v>
      </c>
      <c r="B153" s="18" t="n">
        <v>4</v>
      </c>
      <c r="C153" s="18" t="s">
        <v>314</v>
      </c>
      <c r="D153" s="18" t="str">
        <f aca="false">4_Scorer_A!G153</f>
        <v/>
      </c>
      <c r="E153" s="18" t="str">
        <f aca="false">4_Scorer_B!G153</f>
        <v/>
      </c>
      <c r="F153" s="18" t="str">
        <f aca="false">4_Scorer_C!G153</f>
        <v/>
      </c>
      <c r="G153" s="18" t="str">
        <f aca="false">IF(COUNT(D153:F153)=3,AVERAGE(D153:F153),"")</f>
        <v/>
      </c>
      <c r="H153" s="18" t="str">
        <f aca="false">IF(COUNT(D153:F153)=3,MAX(D153:F153)-MIN(D153:F153),"")</f>
        <v/>
      </c>
      <c r="I153" s="18" t="str">
        <f aca="false">IF(H153="","",IF(H153&gt;1,"RECONCILE","OK"))</f>
        <v/>
      </c>
      <c r="J153" s="18" t="str">
        <f aca="false">IF(G153="","",G153)</f>
        <v/>
      </c>
    </row>
    <row r="154" customFormat="false" ht="15" hidden="false" customHeight="false" outlineLevel="0" collapsed="false">
      <c r="A154" s="18" t="s">
        <v>217</v>
      </c>
      <c r="B154" s="18" t="n">
        <v>4</v>
      </c>
      <c r="C154" s="18" t="s">
        <v>311</v>
      </c>
      <c r="D154" s="18" t="str">
        <f aca="false">4_Scorer_A!G154</f>
        <v/>
      </c>
      <c r="E154" s="18" t="str">
        <f aca="false">4_Scorer_B!G154</f>
        <v/>
      </c>
      <c r="F154" s="18" t="str">
        <f aca="false">4_Scorer_C!G154</f>
        <v/>
      </c>
      <c r="G154" s="18" t="str">
        <f aca="false">IF(COUNT(D154:F154)=3,AVERAGE(D154:F154),"")</f>
        <v/>
      </c>
      <c r="H154" s="18" t="str">
        <f aca="false">IF(COUNT(D154:F154)=3,MAX(D154:F154)-MIN(D154:F154),"")</f>
        <v/>
      </c>
      <c r="I154" s="18" t="str">
        <f aca="false">IF(H154="","",IF(H154&gt;1,"RECONCILE","OK"))</f>
        <v/>
      </c>
      <c r="J154" s="18" t="str">
        <f aca="false">IF(G154="","",G154)</f>
        <v/>
      </c>
    </row>
    <row r="155" customFormat="false" ht="15" hidden="false" customHeight="false" outlineLevel="0" collapsed="false">
      <c r="A155" s="18" t="s">
        <v>217</v>
      </c>
      <c r="B155" s="18" t="n">
        <v>4</v>
      </c>
      <c r="C155" s="18" t="s">
        <v>312</v>
      </c>
      <c r="D155" s="18" t="str">
        <f aca="false">4_Scorer_A!G155</f>
        <v/>
      </c>
      <c r="E155" s="18" t="str">
        <f aca="false">4_Scorer_B!G155</f>
        <v/>
      </c>
      <c r="F155" s="18" t="str">
        <f aca="false">4_Scorer_C!G155</f>
        <v/>
      </c>
      <c r="G155" s="18" t="str">
        <f aca="false">IF(COUNT(D155:F155)=3,AVERAGE(D155:F155),"")</f>
        <v/>
      </c>
      <c r="H155" s="18" t="str">
        <f aca="false">IF(COUNT(D155:F155)=3,MAX(D155:F155)-MIN(D155:F155),"")</f>
        <v/>
      </c>
      <c r="I155" s="18" t="str">
        <f aca="false">IF(H155="","",IF(H155&gt;1,"RECONCILE","OK"))</f>
        <v/>
      </c>
      <c r="J155" s="18" t="str">
        <f aca="false">IF(G155="","",G155)</f>
        <v/>
      </c>
    </row>
    <row r="156" customFormat="false" ht="15" hidden="false" customHeight="false" outlineLevel="0" collapsed="false">
      <c r="A156" s="18" t="s">
        <v>217</v>
      </c>
      <c r="B156" s="18" t="n">
        <v>4</v>
      </c>
      <c r="C156" s="18" t="s">
        <v>313</v>
      </c>
      <c r="D156" s="18" t="str">
        <f aca="false">4_Scorer_A!G156</f>
        <v/>
      </c>
      <c r="E156" s="18" t="str">
        <f aca="false">4_Scorer_B!G156</f>
        <v/>
      </c>
      <c r="F156" s="18" t="str">
        <f aca="false">4_Scorer_C!G156</f>
        <v/>
      </c>
      <c r="G156" s="18" t="str">
        <f aca="false">IF(COUNT(D156:F156)=3,AVERAGE(D156:F156),"")</f>
        <v/>
      </c>
      <c r="H156" s="18" t="str">
        <f aca="false">IF(COUNT(D156:F156)=3,MAX(D156:F156)-MIN(D156:F156),"")</f>
        <v/>
      </c>
      <c r="I156" s="18" t="str">
        <f aca="false">IF(H156="","",IF(H156&gt;1,"RECONCILE","OK"))</f>
        <v/>
      </c>
      <c r="J156" s="18" t="str">
        <f aca="false">IF(G156="","",G156)</f>
        <v/>
      </c>
    </row>
    <row r="157" customFormat="false" ht="15" hidden="false" customHeight="false" outlineLevel="0" collapsed="false">
      <c r="A157" s="18" t="s">
        <v>217</v>
      </c>
      <c r="B157" s="18" t="n">
        <v>4</v>
      </c>
      <c r="C157" s="18" t="s">
        <v>314</v>
      </c>
      <c r="D157" s="18" t="str">
        <f aca="false">4_Scorer_A!G157</f>
        <v/>
      </c>
      <c r="E157" s="18" t="str">
        <f aca="false">4_Scorer_B!G157</f>
        <v/>
      </c>
      <c r="F157" s="18" t="str">
        <f aca="false">4_Scorer_C!G157</f>
        <v/>
      </c>
      <c r="G157" s="18" t="str">
        <f aca="false">IF(COUNT(D157:F157)=3,AVERAGE(D157:F157),"")</f>
        <v/>
      </c>
      <c r="H157" s="18" t="str">
        <f aca="false">IF(COUNT(D157:F157)=3,MAX(D157:F157)-MIN(D157:F157),"")</f>
        <v/>
      </c>
      <c r="I157" s="18" t="str">
        <f aca="false">IF(H157="","",IF(H157&gt;1,"RECONCILE","OK"))</f>
        <v/>
      </c>
      <c r="J157" s="18" t="str">
        <f aca="false">IF(G157="","",G157)</f>
        <v/>
      </c>
    </row>
    <row r="158" customFormat="false" ht="15" hidden="false" customHeight="false" outlineLevel="0" collapsed="false">
      <c r="A158" s="18" t="s">
        <v>221</v>
      </c>
      <c r="B158" s="18" t="n">
        <v>4</v>
      </c>
      <c r="C158" s="18" t="s">
        <v>311</v>
      </c>
      <c r="D158" s="18" t="str">
        <f aca="false">4_Scorer_A!G158</f>
        <v/>
      </c>
      <c r="E158" s="18" t="str">
        <f aca="false">4_Scorer_B!G158</f>
        <v/>
      </c>
      <c r="F158" s="18" t="str">
        <f aca="false">4_Scorer_C!G158</f>
        <v/>
      </c>
      <c r="G158" s="18" t="str">
        <f aca="false">IF(COUNT(D158:F158)=3,AVERAGE(D158:F158),"")</f>
        <v/>
      </c>
      <c r="H158" s="18" t="str">
        <f aca="false">IF(COUNT(D158:F158)=3,MAX(D158:F158)-MIN(D158:F158),"")</f>
        <v/>
      </c>
      <c r="I158" s="18" t="str">
        <f aca="false">IF(H158="","",IF(H158&gt;1,"RECONCILE","OK"))</f>
        <v/>
      </c>
      <c r="J158" s="18" t="str">
        <f aca="false">IF(G158="","",G158)</f>
        <v/>
      </c>
    </row>
    <row r="159" customFormat="false" ht="15" hidden="false" customHeight="false" outlineLevel="0" collapsed="false">
      <c r="A159" s="18" t="s">
        <v>221</v>
      </c>
      <c r="B159" s="18" t="n">
        <v>4</v>
      </c>
      <c r="C159" s="18" t="s">
        <v>312</v>
      </c>
      <c r="D159" s="18" t="str">
        <f aca="false">4_Scorer_A!G159</f>
        <v/>
      </c>
      <c r="E159" s="18" t="str">
        <f aca="false">4_Scorer_B!G159</f>
        <v/>
      </c>
      <c r="F159" s="18" t="str">
        <f aca="false">4_Scorer_C!G159</f>
        <v/>
      </c>
      <c r="G159" s="18" t="str">
        <f aca="false">IF(COUNT(D159:F159)=3,AVERAGE(D159:F159),"")</f>
        <v/>
      </c>
      <c r="H159" s="18" t="str">
        <f aca="false">IF(COUNT(D159:F159)=3,MAX(D159:F159)-MIN(D159:F159),"")</f>
        <v/>
      </c>
      <c r="I159" s="18" t="str">
        <f aca="false">IF(H159="","",IF(H159&gt;1,"RECONCILE","OK"))</f>
        <v/>
      </c>
      <c r="J159" s="18" t="str">
        <f aca="false">IF(G159="","",G159)</f>
        <v/>
      </c>
    </row>
    <row r="160" customFormat="false" ht="15" hidden="false" customHeight="false" outlineLevel="0" collapsed="false">
      <c r="A160" s="18" t="s">
        <v>221</v>
      </c>
      <c r="B160" s="18" t="n">
        <v>4</v>
      </c>
      <c r="C160" s="18" t="s">
        <v>313</v>
      </c>
      <c r="D160" s="18" t="str">
        <f aca="false">4_Scorer_A!G160</f>
        <v/>
      </c>
      <c r="E160" s="18" t="str">
        <f aca="false">4_Scorer_B!G160</f>
        <v/>
      </c>
      <c r="F160" s="18" t="str">
        <f aca="false">4_Scorer_C!G160</f>
        <v/>
      </c>
      <c r="G160" s="18" t="str">
        <f aca="false">IF(COUNT(D160:F160)=3,AVERAGE(D160:F160),"")</f>
        <v/>
      </c>
      <c r="H160" s="18" t="str">
        <f aca="false">IF(COUNT(D160:F160)=3,MAX(D160:F160)-MIN(D160:F160),"")</f>
        <v/>
      </c>
      <c r="I160" s="18" t="str">
        <f aca="false">IF(H160="","",IF(H160&gt;1,"RECONCILE","OK"))</f>
        <v/>
      </c>
      <c r="J160" s="18" t="str">
        <f aca="false">IF(G160="","",G160)</f>
        <v/>
      </c>
    </row>
    <row r="161" customFormat="false" ht="15" hidden="false" customHeight="false" outlineLevel="0" collapsed="false">
      <c r="A161" s="18" t="s">
        <v>221</v>
      </c>
      <c r="B161" s="18" t="n">
        <v>4</v>
      </c>
      <c r="C161" s="18" t="s">
        <v>314</v>
      </c>
      <c r="D161" s="18" t="str">
        <f aca="false">4_Scorer_A!G161</f>
        <v/>
      </c>
      <c r="E161" s="18" t="str">
        <f aca="false">4_Scorer_B!G161</f>
        <v/>
      </c>
      <c r="F161" s="18" t="str">
        <f aca="false">4_Scorer_C!G161</f>
        <v/>
      </c>
      <c r="G161" s="18" t="str">
        <f aca="false">IF(COUNT(D161:F161)=3,AVERAGE(D161:F161),"")</f>
        <v/>
      </c>
      <c r="H161" s="18" t="str">
        <f aca="false">IF(COUNT(D161:F161)=3,MAX(D161:F161)-MIN(D161:F161),"")</f>
        <v/>
      </c>
      <c r="I161" s="18" t="str">
        <f aca="false">IF(H161="","",IF(H161&gt;1,"RECONCILE","OK"))</f>
        <v/>
      </c>
      <c r="J161" s="18" t="str">
        <f aca="false">IF(G161="","",G161)</f>
        <v/>
      </c>
    </row>
    <row r="162" customFormat="false" ht="15" hidden="false" customHeight="false" outlineLevel="0" collapsed="false">
      <c r="A162" s="18" t="s">
        <v>225</v>
      </c>
      <c r="B162" s="18" t="n">
        <v>5</v>
      </c>
      <c r="C162" s="18" t="s">
        <v>311</v>
      </c>
      <c r="D162" s="18" t="str">
        <f aca="false">4_Scorer_A!G162</f>
        <v/>
      </c>
      <c r="E162" s="18" t="str">
        <f aca="false">4_Scorer_B!G162</f>
        <v/>
      </c>
      <c r="F162" s="18" t="str">
        <f aca="false">4_Scorer_C!G162</f>
        <v/>
      </c>
      <c r="G162" s="18" t="str">
        <f aca="false">IF(COUNT(D162:F162)=3,AVERAGE(D162:F162),"")</f>
        <v/>
      </c>
      <c r="H162" s="18" t="str">
        <f aca="false">IF(COUNT(D162:F162)=3,MAX(D162:F162)-MIN(D162:F162),"")</f>
        <v/>
      </c>
      <c r="I162" s="18" t="str">
        <f aca="false">IF(H162="","",IF(H162&gt;1,"RECONCILE","OK"))</f>
        <v/>
      </c>
      <c r="J162" s="18" t="str">
        <f aca="false">IF(G162="","",G162)</f>
        <v/>
      </c>
    </row>
    <row r="163" customFormat="false" ht="15" hidden="false" customHeight="false" outlineLevel="0" collapsed="false">
      <c r="A163" s="18" t="s">
        <v>225</v>
      </c>
      <c r="B163" s="18" t="n">
        <v>5</v>
      </c>
      <c r="C163" s="18" t="s">
        <v>312</v>
      </c>
      <c r="D163" s="18" t="str">
        <f aca="false">4_Scorer_A!G163</f>
        <v/>
      </c>
      <c r="E163" s="18" t="str">
        <f aca="false">4_Scorer_B!G163</f>
        <v/>
      </c>
      <c r="F163" s="18" t="str">
        <f aca="false">4_Scorer_C!G163</f>
        <v/>
      </c>
      <c r="G163" s="18" t="str">
        <f aca="false">IF(COUNT(D163:F163)=3,AVERAGE(D163:F163),"")</f>
        <v/>
      </c>
      <c r="H163" s="18" t="str">
        <f aca="false">IF(COUNT(D163:F163)=3,MAX(D163:F163)-MIN(D163:F163),"")</f>
        <v/>
      </c>
      <c r="I163" s="18" t="str">
        <f aca="false">IF(H163="","",IF(H163&gt;1,"RECONCILE","OK"))</f>
        <v/>
      </c>
      <c r="J163" s="18" t="str">
        <f aca="false">IF(G163="","",G163)</f>
        <v/>
      </c>
    </row>
    <row r="164" customFormat="false" ht="15" hidden="false" customHeight="false" outlineLevel="0" collapsed="false">
      <c r="A164" s="18" t="s">
        <v>225</v>
      </c>
      <c r="B164" s="18" t="n">
        <v>5</v>
      </c>
      <c r="C164" s="18" t="s">
        <v>313</v>
      </c>
      <c r="D164" s="18" t="str">
        <f aca="false">4_Scorer_A!G164</f>
        <v/>
      </c>
      <c r="E164" s="18" t="str">
        <f aca="false">4_Scorer_B!G164</f>
        <v/>
      </c>
      <c r="F164" s="18" t="str">
        <f aca="false">4_Scorer_C!G164</f>
        <v/>
      </c>
      <c r="G164" s="18" t="str">
        <f aca="false">IF(COUNT(D164:F164)=3,AVERAGE(D164:F164),"")</f>
        <v/>
      </c>
      <c r="H164" s="18" t="str">
        <f aca="false">IF(COUNT(D164:F164)=3,MAX(D164:F164)-MIN(D164:F164),"")</f>
        <v/>
      </c>
      <c r="I164" s="18" t="str">
        <f aca="false">IF(H164="","",IF(H164&gt;1,"RECONCILE","OK"))</f>
        <v/>
      </c>
      <c r="J164" s="18" t="str">
        <f aca="false">IF(G164="","",G164)</f>
        <v/>
      </c>
    </row>
    <row r="165" customFormat="false" ht="15" hidden="false" customHeight="false" outlineLevel="0" collapsed="false">
      <c r="A165" s="18" t="s">
        <v>225</v>
      </c>
      <c r="B165" s="18" t="n">
        <v>5</v>
      </c>
      <c r="C165" s="18" t="s">
        <v>314</v>
      </c>
      <c r="D165" s="18" t="str">
        <f aca="false">4_Scorer_A!G165</f>
        <v/>
      </c>
      <c r="E165" s="18" t="str">
        <f aca="false">4_Scorer_B!G165</f>
        <v/>
      </c>
      <c r="F165" s="18" t="str">
        <f aca="false">4_Scorer_C!G165</f>
        <v/>
      </c>
      <c r="G165" s="18" t="str">
        <f aca="false">IF(COUNT(D165:F165)=3,AVERAGE(D165:F165),"")</f>
        <v/>
      </c>
      <c r="H165" s="18" t="str">
        <f aca="false">IF(COUNT(D165:F165)=3,MAX(D165:F165)-MIN(D165:F165),"")</f>
        <v/>
      </c>
      <c r="I165" s="18" t="str">
        <f aca="false">IF(H165="","",IF(H165&gt;1,"RECONCILE","OK"))</f>
        <v/>
      </c>
      <c r="J165" s="18" t="str">
        <f aca="false">IF(G165="","",G165)</f>
        <v/>
      </c>
    </row>
    <row r="166" customFormat="false" ht="15" hidden="false" customHeight="false" outlineLevel="0" collapsed="false">
      <c r="A166" s="18" t="s">
        <v>230</v>
      </c>
      <c r="B166" s="18" t="n">
        <v>5</v>
      </c>
      <c r="C166" s="18" t="s">
        <v>311</v>
      </c>
      <c r="D166" s="18" t="str">
        <f aca="false">4_Scorer_A!G166</f>
        <v/>
      </c>
      <c r="E166" s="18" t="str">
        <f aca="false">4_Scorer_B!G166</f>
        <v/>
      </c>
      <c r="F166" s="18" t="str">
        <f aca="false">4_Scorer_C!G166</f>
        <v/>
      </c>
      <c r="G166" s="18" t="str">
        <f aca="false">IF(COUNT(D166:F166)=3,AVERAGE(D166:F166),"")</f>
        <v/>
      </c>
      <c r="H166" s="18" t="str">
        <f aca="false">IF(COUNT(D166:F166)=3,MAX(D166:F166)-MIN(D166:F166),"")</f>
        <v/>
      </c>
      <c r="I166" s="18" t="str">
        <f aca="false">IF(H166="","",IF(H166&gt;1,"RECONCILE","OK"))</f>
        <v/>
      </c>
      <c r="J166" s="18" t="str">
        <f aca="false">IF(G166="","",G166)</f>
        <v/>
      </c>
    </row>
    <row r="167" customFormat="false" ht="15" hidden="false" customHeight="false" outlineLevel="0" collapsed="false">
      <c r="A167" s="18" t="s">
        <v>230</v>
      </c>
      <c r="B167" s="18" t="n">
        <v>5</v>
      </c>
      <c r="C167" s="18" t="s">
        <v>312</v>
      </c>
      <c r="D167" s="18" t="str">
        <f aca="false">4_Scorer_A!G167</f>
        <v/>
      </c>
      <c r="E167" s="18" t="str">
        <f aca="false">4_Scorer_B!G167</f>
        <v/>
      </c>
      <c r="F167" s="18" t="str">
        <f aca="false">4_Scorer_C!G167</f>
        <v/>
      </c>
      <c r="G167" s="18" t="str">
        <f aca="false">IF(COUNT(D167:F167)=3,AVERAGE(D167:F167),"")</f>
        <v/>
      </c>
      <c r="H167" s="18" t="str">
        <f aca="false">IF(COUNT(D167:F167)=3,MAX(D167:F167)-MIN(D167:F167),"")</f>
        <v/>
      </c>
      <c r="I167" s="18" t="str">
        <f aca="false">IF(H167="","",IF(H167&gt;1,"RECONCILE","OK"))</f>
        <v/>
      </c>
      <c r="J167" s="18" t="str">
        <f aca="false">IF(G167="","",G167)</f>
        <v/>
      </c>
    </row>
    <row r="168" customFormat="false" ht="15" hidden="false" customHeight="false" outlineLevel="0" collapsed="false">
      <c r="A168" s="18" t="s">
        <v>230</v>
      </c>
      <c r="B168" s="18" t="n">
        <v>5</v>
      </c>
      <c r="C168" s="18" t="s">
        <v>313</v>
      </c>
      <c r="D168" s="18" t="str">
        <f aca="false">4_Scorer_A!G168</f>
        <v/>
      </c>
      <c r="E168" s="18" t="str">
        <f aca="false">4_Scorer_B!G168</f>
        <v/>
      </c>
      <c r="F168" s="18" t="str">
        <f aca="false">4_Scorer_C!G168</f>
        <v/>
      </c>
      <c r="G168" s="18" t="str">
        <f aca="false">IF(COUNT(D168:F168)=3,AVERAGE(D168:F168),"")</f>
        <v/>
      </c>
      <c r="H168" s="18" t="str">
        <f aca="false">IF(COUNT(D168:F168)=3,MAX(D168:F168)-MIN(D168:F168),"")</f>
        <v/>
      </c>
      <c r="I168" s="18" t="str">
        <f aca="false">IF(H168="","",IF(H168&gt;1,"RECONCILE","OK"))</f>
        <v/>
      </c>
      <c r="J168" s="18" t="str">
        <f aca="false">IF(G168="","",G168)</f>
        <v/>
      </c>
    </row>
    <row r="169" customFormat="false" ht="15" hidden="false" customHeight="false" outlineLevel="0" collapsed="false">
      <c r="A169" s="18" t="s">
        <v>230</v>
      </c>
      <c r="B169" s="18" t="n">
        <v>5</v>
      </c>
      <c r="C169" s="18" t="s">
        <v>314</v>
      </c>
      <c r="D169" s="18" t="str">
        <f aca="false">4_Scorer_A!G169</f>
        <v/>
      </c>
      <c r="E169" s="18" t="str">
        <f aca="false">4_Scorer_B!G169</f>
        <v/>
      </c>
      <c r="F169" s="18" t="str">
        <f aca="false">4_Scorer_C!G169</f>
        <v/>
      </c>
      <c r="G169" s="18" t="str">
        <f aca="false">IF(COUNT(D169:F169)=3,AVERAGE(D169:F169),"")</f>
        <v/>
      </c>
      <c r="H169" s="18" t="str">
        <f aca="false">IF(COUNT(D169:F169)=3,MAX(D169:F169)-MIN(D169:F169),"")</f>
        <v/>
      </c>
      <c r="I169" s="18" t="str">
        <f aca="false">IF(H169="","",IF(H169&gt;1,"RECONCILE","OK"))</f>
        <v/>
      </c>
      <c r="J169" s="18" t="str">
        <f aca="false">IF(G169="","",G169)</f>
        <v/>
      </c>
    </row>
    <row r="170" customFormat="false" ht="15" hidden="false" customHeight="false" outlineLevel="0" collapsed="false">
      <c r="A170" s="18" t="s">
        <v>234</v>
      </c>
      <c r="B170" s="18" t="n">
        <v>5</v>
      </c>
      <c r="C170" s="18" t="s">
        <v>311</v>
      </c>
      <c r="D170" s="18" t="str">
        <f aca="false">4_Scorer_A!G170</f>
        <v/>
      </c>
      <c r="E170" s="18" t="str">
        <f aca="false">4_Scorer_B!G170</f>
        <v/>
      </c>
      <c r="F170" s="18" t="str">
        <f aca="false">4_Scorer_C!G170</f>
        <v/>
      </c>
      <c r="G170" s="18" t="str">
        <f aca="false">IF(COUNT(D170:F170)=3,AVERAGE(D170:F170),"")</f>
        <v/>
      </c>
      <c r="H170" s="18" t="str">
        <f aca="false">IF(COUNT(D170:F170)=3,MAX(D170:F170)-MIN(D170:F170),"")</f>
        <v/>
      </c>
      <c r="I170" s="18" t="str">
        <f aca="false">IF(H170="","",IF(H170&gt;1,"RECONCILE","OK"))</f>
        <v/>
      </c>
      <c r="J170" s="18" t="str">
        <f aca="false">IF(G170="","",G170)</f>
        <v/>
      </c>
    </row>
    <row r="171" customFormat="false" ht="15" hidden="false" customHeight="false" outlineLevel="0" collapsed="false">
      <c r="A171" s="18" t="s">
        <v>234</v>
      </c>
      <c r="B171" s="18" t="n">
        <v>5</v>
      </c>
      <c r="C171" s="18" t="s">
        <v>312</v>
      </c>
      <c r="D171" s="18" t="str">
        <f aca="false">4_Scorer_A!G171</f>
        <v/>
      </c>
      <c r="E171" s="18" t="str">
        <f aca="false">4_Scorer_B!G171</f>
        <v/>
      </c>
      <c r="F171" s="18" t="str">
        <f aca="false">4_Scorer_C!G171</f>
        <v/>
      </c>
      <c r="G171" s="18" t="str">
        <f aca="false">IF(COUNT(D171:F171)=3,AVERAGE(D171:F171),"")</f>
        <v/>
      </c>
      <c r="H171" s="18" t="str">
        <f aca="false">IF(COUNT(D171:F171)=3,MAX(D171:F171)-MIN(D171:F171),"")</f>
        <v/>
      </c>
      <c r="I171" s="18" t="str">
        <f aca="false">IF(H171="","",IF(H171&gt;1,"RECONCILE","OK"))</f>
        <v/>
      </c>
      <c r="J171" s="18" t="str">
        <f aca="false">IF(G171="","",G171)</f>
        <v/>
      </c>
    </row>
    <row r="172" customFormat="false" ht="15" hidden="false" customHeight="false" outlineLevel="0" collapsed="false">
      <c r="A172" s="18" t="s">
        <v>234</v>
      </c>
      <c r="B172" s="18" t="n">
        <v>5</v>
      </c>
      <c r="C172" s="18" t="s">
        <v>313</v>
      </c>
      <c r="D172" s="18" t="str">
        <f aca="false">4_Scorer_A!G172</f>
        <v/>
      </c>
      <c r="E172" s="18" t="str">
        <f aca="false">4_Scorer_B!G172</f>
        <v/>
      </c>
      <c r="F172" s="18" t="str">
        <f aca="false">4_Scorer_C!G172</f>
        <v/>
      </c>
      <c r="G172" s="18" t="str">
        <f aca="false">IF(COUNT(D172:F172)=3,AVERAGE(D172:F172),"")</f>
        <v/>
      </c>
      <c r="H172" s="18" t="str">
        <f aca="false">IF(COUNT(D172:F172)=3,MAX(D172:F172)-MIN(D172:F172),"")</f>
        <v/>
      </c>
      <c r="I172" s="18" t="str">
        <f aca="false">IF(H172="","",IF(H172&gt;1,"RECONCILE","OK"))</f>
        <v/>
      </c>
      <c r="J172" s="18" t="str">
        <f aca="false">IF(G172="","",G172)</f>
        <v/>
      </c>
    </row>
    <row r="173" customFormat="false" ht="15" hidden="false" customHeight="false" outlineLevel="0" collapsed="false">
      <c r="A173" s="18" t="s">
        <v>234</v>
      </c>
      <c r="B173" s="18" t="n">
        <v>5</v>
      </c>
      <c r="C173" s="18" t="s">
        <v>314</v>
      </c>
      <c r="D173" s="18" t="str">
        <f aca="false">4_Scorer_A!G173</f>
        <v/>
      </c>
      <c r="E173" s="18" t="str">
        <f aca="false">4_Scorer_B!G173</f>
        <v/>
      </c>
      <c r="F173" s="18" t="str">
        <f aca="false">4_Scorer_C!G173</f>
        <v/>
      </c>
      <c r="G173" s="18" t="str">
        <f aca="false">IF(COUNT(D173:F173)=3,AVERAGE(D173:F173),"")</f>
        <v/>
      </c>
      <c r="H173" s="18" t="str">
        <f aca="false">IF(COUNT(D173:F173)=3,MAX(D173:F173)-MIN(D173:F173),"")</f>
        <v/>
      </c>
      <c r="I173" s="18" t="str">
        <f aca="false">IF(H173="","",IF(H173&gt;1,"RECONCILE","OK"))</f>
        <v/>
      </c>
      <c r="J173" s="18" t="str">
        <f aca="false">IF(G173="","",G173)</f>
        <v/>
      </c>
    </row>
    <row r="174" customFormat="false" ht="15" hidden="false" customHeight="false" outlineLevel="0" collapsed="false">
      <c r="A174" s="18" t="s">
        <v>238</v>
      </c>
      <c r="B174" s="18" t="n">
        <v>5</v>
      </c>
      <c r="C174" s="18" t="s">
        <v>311</v>
      </c>
      <c r="D174" s="18" t="str">
        <f aca="false">4_Scorer_A!G174</f>
        <v/>
      </c>
      <c r="E174" s="18" t="str">
        <f aca="false">4_Scorer_B!G174</f>
        <v/>
      </c>
      <c r="F174" s="18" t="str">
        <f aca="false">4_Scorer_C!G174</f>
        <v/>
      </c>
      <c r="G174" s="18" t="str">
        <f aca="false">IF(COUNT(D174:F174)=3,AVERAGE(D174:F174),"")</f>
        <v/>
      </c>
      <c r="H174" s="18" t="str">
        <f aca="false">IF(COUNT(D174:F174)=3,MAX(D174:F174)-MIN(D174:F174),"")</f>
        <v/>
      </c>
      <c r="I174" s="18" t="str">
        <f aca="false">IF(H174="","",IF(H174&gt;1,"RECONCILE","OK"))</f>
        <v/>
      </c>
      <c r="J174" s="18" t="str">
        <f aca="false">IF(G174="","",G174)</f>
        <v/>
      </c>
    </row>
    <row r="175" customFormat="false" ht="15" hidden="false" customHeight="false" outlineLevel="0" collapsed="false">
      <c r="A175" s="18" t="s">
        <v>238</v>
      </c>
      <c r="B175" s="18" t="n">
        <v>5</v>
      </c>
      <c r="C175" s="18" t="s">
        <v>312</v>
      </c>
      <c r="D175" s="18" t="str">
        <f aca="false">4_Scorer_A!G175</f>
        <v/>
      </c>
      <c r="E175" s="18" t="str">
        <f aca="false">4_Scorer_B!G175</f>
        <v/>
      </c>
      <c r="F175" s="18" t="str">
        <f aca="false">4_Scorer_C!G175</f>
        <v/>
      </c>
      <c r="G175" s="18" t="str">
        <f aca="false">IF(COUNT(D175:F175)=3,AVERAGE(D175:F175),"")</f>
        <v/>
      </c>
      <c r="H175" s="18" t="str">
        <f aca="false">IF(COUNT(D175:F175)=3,MAX(D175:F175)-MIN(D175:F175),"")</f>
        <v/>
      </c>
      <c r="I175" s="18" t="str">
        <f aca="false">IF(H175="","",IF(H175&gt;1,"RECONCILE","OK"))</f>
        <v/>
      </c>
      <c r="J175" s="18" t="str">
        <f aca="false">IF(G175="","",G175)</f>
        <v/>
      </c>
    </row>
    <row r="176" customFormat="false" ht="15" hidden="false" customHeight="false" outlineLevel="0" collapsed="false">
      <c r="A176" s="18" t="s">
        <v>238</v>
      </c>
      <c r="B176" s="18" t="n">
        <v>5</v>
      </c>
      <c r="C176" s="18" t="s">
        <v>313</v>
      </c>
      <c r="D176" s="18" t="str">
        <f aca="false">4_Scorer_A!G176</f>
        <v/>
      </c>
      <c r="E176" s="18" t="str">
        <f aca="false">4_Scorer_B!G176</f>
        <v/>
      </c>
      <c r="F176" s="18" t="str">
        <f aca="false">4_Scorer_C!G176</f>
        <v/>
      </c>
      <c r="G176" s="18" t="str">
        <f aca="false">IF(COUNT(D176:F176)=3,AVERAGE(D176:F176),"")</f>
        <v/>
      </c>
      <c r="H176" s="18" t="str">
        <f aca="false">IF(COUNT(D176:F176)=3,MAX(D176:F176)-MIN(D176:F176),"")</f>
        <v/>
      </c>
      <c r="I176" s="18" t="str">
        <f aca="false">IF(H176="","",IF(H176&gt;1,"RECONCILE","OK"))</f>
        <v/>
      </c>
      <c r="J176" s="18" t="str">
        <f aca="false">IF(G176="","",G176)</f>
        <v/>
      </c>
    </row>
    <row r="177" customFormat="false" ht="15" hidden="false" customHeight="false" outlineLevel="0" collapsed="false">
      <c r="A177" s="18" t="s">
        <v>238</v>
      </c>
      <c r="B177" s="18" t="n">
        <v>5</v>
      </c>
      <c r="C177" s="18" t="s">
        <v>314</v>
      </c>
      <c r="D177" s="18" t="str">
        <f aca="false">4_Scorer_A!G177</f>
        <v/>
      </c>
      <c r="E177" s="18" t="str">
        <f aca="false">4_Scorer_B!G177</f>
        <v/>
      </c>
      <c r="F177" s="18" t="str">
        <f aca="false">4_Scorer_C!G177</f>
        <v/>
      </c>
      <c r="G177" s="18" t="str">
        <f aca="false">IF(COUNT(D177:F177)=3,AVERAGE(D177:F177),"")</f>
        <v/>
      </c>
      <c r="H177" s="18" t="str">
        <f aca="false">IF(COUNT(D177:F177)=3,MAX(D177:F177)-MIN(D177:F177),"")</f>
        <v/>
      </c>
      <c r="I177" s="18" t="str">
        <f aca="false">IF(H177="","",IF(H177&gt;1,"RECONCILE","OK"))</f>
        <v/>
      </c>
      <c r="J177" s="18" t="str">
        <f aca="false">IF(G177="","",G177)</f>
        <v/>
      </c>
    </row>
    <row r="178" customFormat="false" ht="15" hidden="false" customHeight="false" outlineLevel="0" collapsed="false">
      <c r="A178" s="18" t="s">
        <v>242</v>
      </c>
      <c r="B178" s="18" t="n">
        <v>5</v>
      </c>
      <c r="C178" s="18" t="s">
        <v>311</v>
      </c>
      <c r="D178" s="18" t="str">
        <f aca="false">4_Scorer_A!G178</f>
        <v/>
      </c>
      <c r="E178" s="18" t="str">
        <f aca="false">4_Scorer_B!G178</f>
        <v/>
      </c>
      <c r="F178" s="18" t="str">
        <f aca="false">4_Scorer_C!G178</f>
        <v/>
      </c>
      <c r="G178" s="18" t="str">
        <f aca="false">IF(COUNT(D178:F178)=3,AVERAGE(D178:F178),"")</f>
        <v/>
      </c>
      <c r="H178" s="18" t="str">
        <f aca="false">IF(COUNT(D178:F178)=3,MAX(D178:F178)-MIN(D178:F178),"")</f>
        <v/>
      </c>
      <c r="I178" s="18" t="str">
        <f aca="false">IF(H178="","",IF(H178&gt;1,"RECONCILE","OK"))</f>
        <v/>
      </c>
      <c r="J178" s="18" t="str">
        <f aca="false">IF(G178="","",G178)</f>
        <v/>
      </c>
    </row>
    <row r="179" customFormat="false" ht="15" hidden="false" customHeight="false" outlineLevel="0" collapsed="false">
      <c r="A179" s="18" t="s">
        <v>242</v>
      </c>
      <c r="B179" s="18" t="n">
        <v>5</v>
      </c>
      <c r="C179" s="18" t="s">
        <v>312</v>
      </c>
      <c r="D179" s="18" t="str">
        <f aca="false">4_Scorer_A!G179</f>
        <v/>
      </c>
      <c r="E179" s="18" t="str">
        <f aca="false">4_Scorer_B!G179</f>
        <v/>
      </c>
      <c r="F179" s="18" t="str">
        <f aca="false">4_Scorer_C!G179</f>
        <v/>
      </c>
      <c r="G179" s="18" t="str">
        <f aca="false">IF(COUNT(D179:F179)=3,AVERAGE(D179:F179),"")</f>
        <v/>
      </c>
      <c r="H179" s="18" t="str">
        <f aca="false">IF(COUNT(D179:F179)=3,MAX(D179:F179)-MIN(D179:F179),"")</f>
        <v/>
      </c>
      <c r="I179" s="18" t="str">
        <f aca="false">IF(H179="","",IF(H179&gt;1,"RECONCILE","OK"))</f>
        <v/>
      </c>
      <c r="J179" s="18" t="str">
        <f aca="false">IF(G179="","",G179)</f>
        <v/>
      </c>
    </row>
    <row r="180" customFormat="false" ht="15" hidden="false" customHeight="false" outlineLevel="0" collapsed="false">
      <c r="A180" s="18" t="s">
        <v>242</v>
      </c>
      <c r="B180" s="18" t="n">
        <v>5</v>
      </c>
      <c r="C180" s="18" t="s">
        <v>313</v>
      </c>
      <c r="D180" s="18" t="str">
        <f aca="false">4_Scorer_A!G180</f>
        <v/>
      </c>
      <c r="E180" s="18" t="str">
        <f aca="false">4_Scorer_B!G180</f>
        <v/>
      </c>
      <c r="F180" s="18" t="str">
        <f aca="false">4_Scorer_C!G180</f>
        <v/>
      </c>
      <c r="G180" s="18" t="str">
        <f aca="false">IF(COUNT(D180:F180)=3,AVERAGE(D180:F180),"")</f>
        <v/>
      </c>
      <c r="H180" s="18" t="str">
        <f aca="false">IF(COUNT(D180:F180)=3,MAX(D180:F180)-MIN(D180:F180),"")</f>
        <v/>
      </c>
      <c r="I180" s="18" t="str">
        <f aca="false">IF(H180="","",IF(H180&gt;1,"RECONCILE","OK"))</f>
        <v/>
      </c>
      <c r="J180" s="18" t="str">
        <f aca="false">IF(G180="","",G180)</f>
        <v/>
      </c>
    </row>
    <row r="181" customFormat="false" ht="15" hidden="false" customHeight="false" outlineLevel="0" collapsed="false">
      <c r="A181" s="18" t="s">
        <v>242</v>
      </c>
      <c r="B181" s="18" t="n">
        <v>5</v>
      </c>
      <c r="C181" s="18" t="s">
        <v>314</v>
      </c>
      <c r="D181" s="18" t="str">
        <f aca="false">4_Scorer_A!G181</f>
        <v/>
      </c>
      <c r="E181" s="18" t="str">
        <f aca="false">4_Scorer_B!G181</f>
        <v/>
      </c>
      <c r="F181" s="18" t="str">
        <f aca="false">4_Scorer_C!G181</f>
        <v/>
      </c>
      <c r="G181" s="18" t="str">
        <f aca="false">IF(COUNT(D181:F181)=3,AVERAGE(D181:F181),"")</f>
        <v/>
      </c>
      <c r="H181" s="18" t="str">
        <f aca="false">IF(COUNT(D181:F181)=3,MAX(D181:F181)-MIN(D181:F181),"")</f>
        <v/>
      </c>
      <c r="I181" s="18" t="str">
        <f aca="false">IF(H181="","",IF(H181&gt;1,"RECONCILE","OK"))</f>
        <v/>
      </c>
      <c r="J181" s="18" t="str">
        <f aca="false">IF(G181="","",G181)</f>
        <v/>
      </c>
    </row>
    <row r="182" customFormat="false" ht="15" hidden="false" customHeight="false" outlineLevel="0" collapsed="false">
      <c r="A182" s="18" t="s">
        <v>246</v>
      </c>
      <c r="B182" s="18" t="n">
        <v>5</v>
      </c>
      <c r="C182" s="18" t="s">
        <v>311</v>
      </c>
      <c r="D182" s="18" t="str">
        <f aca="false">4_Scorer_A!G182</f>
        <v/>
      </c>
      <c r="E182" s="18" t="str">
        <f aca="false">4_Scorer_B!G182</f>
        <v/>
      </c>
      <c r="F182" s="18" t="str">
        <f aca="false">4_Scorer_C!G182</f>
        <v/>
      </c>
      <c r="G182" s="18" t="str">
        <f aca="false">IF(COUNT(D182:F182)=3,AVERAGE(D182:F182),"")</f>
        <v/>
      </c>
      <c r="H182" s="18" t="str">
        <f aca="false">IF(COUNT(D182:F182)=3,MAX(D182:F182)-MIN(D182:F182),"")</f>
        <v/>
      </c>
      <c r="I182" s="18" t="str">
        <f aca="false">IF(H182="","",IF(H182&gt;1,"RECONCILE","OK"))</f>
        <v/>
      </c>
      <c r="J182" s="18" t="str">
        <f aca="false">IF(G182="","",G182)</f>
        <v/>
      </c>
    </row>
    <row r="183" customFormat="false" ht="15" hidden="false" customHeight="false" outlineLevel="0" collapsed="false">
      <c r="A183" s="18" t="s">
        <v>246</v>
      </c>
      <c r="B183" s="18" t="n">
        <v>5</v>
      </c>
      <c r="C183" s="18" t="s">
        <v>312</v>
      </c>
      <c r="D183" s="18" t="str">
        <f aca="false">4_Scorer_A!G183</f>
        <v/>
      </c>
      <c r="E183" s="18" t="str">
        <f aca="false">4_Scorer_B!G183</f>
        <v/>
      </c>
      <c r="F183" s="18" t="str">
        <f aca="false">4_Scorer_C!G183</f>
        <v/>
      </c>
      <c r="G183" s="18" t="str">
        <f aca="false">IF(COUNT(D183:F183)=3,AVERAGE(D183:F183),"")</f>
        <v/>
      </c>
      <c r="H183" s="18" t="str">
        <f aca="false">IF(COUNT(D183:F183)=3,MAX(D183:F183)-MIN(D183:F183),"")</f>
        <v/>
      </c>
      <c r="I183" s="18" t="str">
        <f aca="false">IF(H183="","",IF(H183&gt;1,"RECONCILE","OK"))</f>
        <v/>
      </c>
      <c r="J183" s="18" t="str">
        <f aca="false">IF(G183="","",G183)</f>
        <v/>
      </c>
    </row>
    <row r="184" customFormat="false" ht="15" hidden="false" customHeight="false" outlineLevel="0" collapsed="false">
      <c r="A184" s="18" t="s">
        <v>246</v>
      </c>
      <c r="B184" s="18" t="n">
        <v>5</v>
      </c>
      <c r="C184" s="18" t="s">
        <v>313</v>
      </c>
      <c r="D184" s="18" t="str">
        <f aca="false">4_Scorer_A!G184</f>
        <v/>
      </c>
      <c r="E184" s="18" t="str">
        <f aca="false">4_Scorer_B!G184</f>
        <v/>
      </c>
      <c r="F184" s="18" t="str">
        <f aca="false">4_Scorer_C!G184</f>
        <v/>
      </c>
      <c r="G184" s="18" t="str">
        <f aca="false">IF(COUNT(D184:F184)=3,AVERAGE(D184:F184),"")</f>
        <v/>
      </c>
      <c r="H184" s="18" t="str">
        <f aca="false">IF(COUNT(D184:F184)=3,MAX(D184:F184)-MIN(D184:F184),"")</f>
        <v/>
      </c>
      <c r="I184" s="18" t="str">
        <f aca="false">IF(H184="","",IF(H184&gt;1,"RECONCILE","OK"))</f>
        <v/>
      </c>
      <c r="J184" s="18" t="str">
        <f aca="false">IF(G184="","",G184)</f>
        <v/>
      </c>
    </row>
    <row r="185" customFormat="false" ht="15" hidden="false" customHeight="false" outlineLevel="0" collapsed="false">
      <c r="A185" s="18" t="s">
        <v>246</v>
      </c>
      <c r="B185" s="18" t="n">
        <v>5</v>
      </c>
      <c r="C185" s="18" t="s">
        <v>314</v>
      </c>
      <c r="D185" s="18" t="str">
        <f aca="false">4_Scorer_A!G185</f>
        <v/>
      </c>
      <c r="E185" s="18" t="str">
        <f aca="false">4_Scorer_B!G185</f>
        <v/>
      </c>
      <c r="F185" s="18" t="str">
        <f aca="false">4_Scorer_C!G185</f>
        <v/>
      </c>
      <c r="G185" s="18" t="str">
        <f aca="false">IF(COUNT(D185:F185)=3,AVERAGE(D185:F185),"")</f>
        <v/>
      </c>
      <c r="H185" s="18" t="str">
        <f aca="false">IF(COUNT(D185:F185)=3,MAX(D185:F185)-MIN(D185:F185),"")</f>
        <v/>
      </c>
      <c r="I185" s="18" t="str">
        <f aca="false">IF(H185="","",IF(H185&gt;1,"RECONCILE","OK"))</f>
        <v/>
      </c>
      <c r="J185" s="18" t="str">
        <f aca="false">IF(G185="","",G185)</f>
        <v/>
      </c>
    </row>
    <row r="186" customFormat="false" ht="15" hidden="false" customHeight="false" outlineLevel="0" collapsed="false">
      <c r="A186" s="18" t="s">
        <v>250</v>
      </c>
      <c r="B186" s="18" t="n">
        <v>5</v>
      </c>
      <c r="C186" s="18" t="s">
        <v>311</v>
      </c>
      <c r="D186" s="18" t="str">
        <f aca="false">4_Scorer_A!G186</f>
        <v/>
      </c>
      <c r="E186" s="18" t="str">
        <f aca="false">4_Scorer_B!G186</f>
        <v/>
      </c>
      <c r="F186" s="18" t="str">
        <f aca="false">4_Scorer_C!G186</f>
        <v/>
      </c>
      <c r="G186" s="18" t="str">
        <f aca="false">IF(COUNT(D186:F186)=3,AVERAGE(D186:F186),"")</f>
        <v/>
      </c>
      <c r="H186" s="18" t="str">
        <f aca="false">IF(COUNT(D186:F186)=3,MAX(D186:F186)-MIN(D186:F186),"")</f>
        <v/>
      </c>
      <c r="I186" s="18" t="str">
        <f aca="false">IF(H186="","",IF(H186&gt;1,"RECONCILE","OK"))</f>
        <v/>
      </c>
      <c r="J186" s="18" t="str">
        <f aca="false">IF(G186="","",G186)</f>
        <v/>
      </c>
    </row>
    <row r="187" customFormat="false" ht="15" hidden="false" customHeight="false" outlineLevel="0" collapsed="false">
      <c r="A187" s="18" t="s">
        <v>250</v>
      </c>
      <c r="B187" s="18" t="n">
        <v>5</v>
      </c>
      <c r="C187" s="18" t="s">
        <v>312</v>
      </c>
      <c r="D187" s="18" t="str">
        <f aca="false">4_Scorer_A!G187</f>
        <v/>
      </c>
      <c r="E187" s="18" t="str">
        <f aca="false">4_Scorer_B!G187</f>
        <v/>
      </c>
      <c r="F187" s="18" t="str">
        <f aca="false">4_Scorer_C!G187</f>
        <v/>
      </c>
      <c r="G187" s="18" t="str">
        <f aca="false">IF(COUNT(D187:F187)=3,AVERAGE(D187:F187),"")</f>
        <v/>
      </c>
      <c r="H187" s="18" t="str">
        <f aca="false">IF(COUNT(D187:F187)=3,MAX(D187:F187)-MIN(D187:F187),"")</f>
        <v/>
      </c>
      <c r="I187" s="18" t="str">
        <f aca="false">IF(H187="","",IF(H187&gt;1,"RECONCILE","OK"))</f>
        <v/>
      </c>
      <c r="J187" s="18" t="str">
        <f aca="false">IF(G187="","",G187)</f>
        <v/>
      </c>
    </row>
    <row r="188" customFormat="false" ht="15" hidden="false" customHeight="false" outlineLevel="0" collapsed="false">
      <c r="A188" s="18" t="s">
        <v>250</v>
      </c>
      <c r="B188" s="18" t="n">
        <v>5</v>
      </c>
      <c r="C188" s="18" t="s">
        <v>313</v>
      </c>
      <c r="D188" s="18" t="str">
        <f aca="false">4_Scorer_A!G188</f>
        <v/>
      </c>
      <c r="E188" s="18" t="str">
        <f aca="false">4_Scorer_B!G188</f>
        <v/>
      </c>
      <c r="F188" s="18" t="str">
        <f aca="false">4_Scorer_C!G188</f>
        <v/>
      </c>
      <c r="G188" s="18" t="str">
        <f aca="false">IF(COUNT(D188:F188)=3,AVERAGE(D188:F188),"")</f>
        <v/>
      </c>
      <c r="H188" s="18" t="str">
        <f aca="false">IF(COUNT(D188:F188)=3,MAX(D188:F188)-MIN(D188:F188),"")</f>
        <v/>
      </c>
      <c r="I188" s="18" t="str">
        <f aca="false">IF(H188="","",IF(H188&gt;1,"RECONCILE","OK"))</f>
        <v/>
      </c>
      <c r="J188" s="18" t="str">
        <f aca="false">IF(G188="","",G188)</f>
        <v/>
      </c>
    </row>
    <row r="189" customFormat="false" ht="15" hidden="false" customHeight="false" outlineLevel="0" collapsed="false">
      <c r="A189" s="18" t="s">
        <v>250</v>
      </c>
      <c r="B189" s="18" t="n">
        <v>5</v>
      </c>
      <c r="C189" s="18" t="s">
        <v>314</v>
      </c>
      <c r="D189" s="18" t="str">
        <f aca="false">4_Scorer_A!G189</f>
        <v/>
      </c>
      <c r="E189" s="18" t="str">
        <f aca="false">4_Scorer_B!G189</f>
        <v/>
      </c>
      <c r="F189" s="18" t="str">
        <f aca="false">4_Scorer_C!G189</f>
        <v/>
      </c>
      <c r="G189" s="18" t="str">
        <f aca="false">IF(COUNT(D189:F189)=3,AVERAGE(D189:F189),"")</f>
        <v/>
      </c>
      <c r="H189" s="18" t="str">
        <f aca="false">IF(COUNT(D189:F189)=3,MAX(D189:F189)-MIN(D189:F189),"")</f>
        <v/>
      </c>
      <c r="I189" s="18" t="str">
        <f aca="false">IF(H189="","",IF(H189&gt;1,"RECONCILE","OK"))</f>
        <v/>
      </c>
      <c r="J189" s="18" t="str">
        <f aca="false">IF(G189="","",G189)</f>
        <v/>
      </c>
    </row>
    <row r="190" customFormat="false" ht="15" hidden="false" customHeight="false" outlineLevel="0" collapsed="false">
      <c r="A190" s="18" t="s">
        <v>255</v>
      </c>
      <c r="B190" s="18" t="n">
        <v>5</v>
      </c>
      <c r="C190" s="18" t="s">
        <v>311</v>
      </c>
      <c r="D190" s="18" t="str">
        <f aca="false">4_Scorer_A!G190</f>
        <v/>
      </c>
      <c r="E190" s="18" t="str">
        <f aca="false">4_Scorer_B!G190</f>
        <v/>
      </c>
      <c r="F190" s="18" t="str">
        <f aca="false">4_Scorer_C!G190</f>
        <v/>
      </c>
      <c r="G190" s="18" t="str">
        <f aca="false">IF(COUNT(D190:F190)=3,AVERAGE(D190:F190),"")</f>
        <v/>
      </c>
      <c r="H190" s="18" t="str">
        <f aca="false">IF(COUNT(D190:F190)=3,MAX(D190:F190)-MIN(D190:F190),"")</f>
        <v/>
      </c>
      <c r="I190" s="18" t="str">
        <f aca="false">IF(H190="","",IF(H190&gt;1,"RECONCILE","OK"))</f>
        <v/>
      </c>
      <c r="J190" s="18" t="str">
        <f aca="false">IF(G190="","",G190)</f>
        <v/>
      </c>
    </row>
    <row r="191" customFormat="false" ht="15" hidden="false" customHeight="false" outlineLevel="0" collapsed="false">
      <c r="A191" s="18" t="s">
        <v>255</v>
      </c>
      <c r="B191" s="18" t="n">
        <v>5</v>
      </c>
      <c r="C191" s="18" t="s">
        <v>312</v>
      </c>
      <c r="D191" s="18" t="str">
        <f aca="false">4_Scorer_A!G191</f>
        <v/>
      </c>
      <c r="E191" s="18" t="str">
        <f aca="false">4_Scorer_B!G191</f>
        <v/>
      </c>
      <c r="F191" s="18" t="str">
        <f aca="false">4_Scorer_C!G191</f>
        <v/>
      </c>
      <c r="G191" s="18" t="str">
        <f aca="false">IF(COUNT(D191:F191)=3,AVERAGE(D191:F191),"")</f>
        <v/>
      </c>
      <c r="H191" s="18" t="str">
        <f aca="false">IF(COUNT(D191:F191)=3,MAX(D191:F191)-MIN(D191:F191),"")</f>
        <v/>
      </c>
      <c r="I191" s="18" t="str">
        <f aca="false">IF(H191="","",IF(H191&gt;1,"RECONCILE","OK"))</f>
        <v/>
      </c>
      <c r="J191" s="18" t="str">
        <f aca="false">IF(G191="","",G191)</f>
        <v/>
      </c>
    </row>
    <row r="192" customFormat="false" ht="15" hidden="false" customHeight="false" outlineLevel="0" collapsed="false">
      <c r="A192" s="18" t="s">
        <v>255</v>
      </c>
      <c r="B192" s="18" t="n">
        <v>5</v>
      </c>
      <c r="C192" s="18" t="s">
        <v>313</v>
      </c>
      <c r="D192" s="18" t="str">
        <f aca="false">4_Scorer_A!G192</f>
        <v/>
      </c>
      <c r="E192" s="18" t="str">
        <f aca="false">4_Scorer_B!G192</f>
        <v/>
      </c>
      <c r="F192" s="18" t="str">
        <f aca="false">4_Scorer_C!G192</f>
        <v/>
      </c>
      <c r="G192" s="18" t="str">
        <f aca="false">IF(COUNT(D192:F192)=3,AVERAGE(D192:F192),"")</f>
        <v/>
      </c>
      <c r="H192" s="18" t="str">
        <f aca="false">IF(COUNT(D192:F192)=3,MAX(D192:F192)-MIN(D192:F192),"")</f>
        <v/>
      </c>
      <c r="I192" s="18" t="str">
        <f aca="false">IF(H192="","",IF(H192&gt;1,"RECONCILE","OK"))</f>
        <v/>
      </c>
      <c r="J192" s="18" t="str">
        <f aca="false">IF(G192="","",G192)</f>
        <v/>
      </c>
    </row>
    <row r="193" customFormat="false" ht="15" hidden="false" customHeight="false" outlineLevel="0" collapsed="false">
      <c r="A193" s="18" t="s">
        <v>255</v>
      </c>
      <c r="B193" s="18" t="n">
        <v>5</v>
      </c>
      <c r="C193" s="18" t="s">
        <v>314</v>
      </c>
      <c r="D193" s="18" t="str">
        <f aca="false">4_Scorer_A!G193</f>
        <v/>
      </c>
      <c r="E193" s="18" t="str">
        <f aca="false">4_Scorer_B!G193</f>
        <v/>
      </c>
      <c r="F193" s="18" t="str">
        <f aca="false">4_Scorer_C!G193</f>
        <v/>
      </c>
      <c r="G193" s="18" t="str">
        <f aca="false">IF(COUNT(D193:F193)=3,AVERAGE(D193:F193),"")</f>
        <v/>
      </c>
      <c r="H193" s="18" t="str">
        <f aca="false">IF(COUNT(D193:F193)=3,MAX(D193:F193)-MIN(D193:F193),"")</f>
        <v/>
      </c>
      <c r="I193" s="18" t="str">
        <f aca="false">IF(H193="","",IF(H193&gt;1,"RECONCILE","OK"))</f>
        <v/>
      </c>
      <c r="J193" s="18" t="str">
        <f aca="false">IF(G193="","",G193)</f>
        <v/>
      </c>
    </row>
    <row r="194" customFormat="false" ht="15" hidden="false" customHeight="false" outlineLevel="0" collapsed="false">
      <c r="A194" s="18" t="s">
        <v>259</v>
      </c>
      <c r="B194" s="18" t="n">
        <v>5</v>
      </c>
      <c r="C194" s="18" t="s">
        <v>311</v>
      </c>
      <c r="D194" s="18" t="str">
        <f aca="false">4_Scorer_A!G194</f>
        <v/>
      </c>
      <c r="E194" s="18" t="str">
        <f aca="false">4_Scorer_B!G194</f>
        <v/>
      </c>
      <c r="F194" s="18" t="str">
        <f aca="false">4_Scorer_C!G194</f>
        <v/>
      </c>
      <c r="G194" s="18" t="str">
        <f aca="false">IF(COUNT(D194:F194)=3,AVERAGE(D194:F194),"")</f>
        <v/>
      </c>
      <c r="H194" s="18" t="str">
        <f aca="false">IF(COUNT(D194:F194)=3,MAX(D194:F194)-MIN(D194:F194),"")</f>
        <v/>
      </c>
      <c r="I194" s="18" t="str">
        <f aca="false">IF(H194="","",IF(H194&gt;1,"RECONCILE","OK"))</f>
        <v/>
      </c>
      <c r="J194" s="18" t="str">
        <f aca="false">IF(G194="","",G194)</f>
        <v/>
      </c>
    </row>
    <row r="195" customFormat="false" ht="15" hidden="false" customHeight="false" outlineLevel="0" collapsed="false">
      <c r="A195" s="18" t="s">
        <v>259</v>
      </c>
      <c r="B195" s="18" t="n">
        <v>5</v>
      </c>
      <c r="C195" s="18" t="s">
        <v>312</v>
      </c>
      <c r="D195" s="18" t="str">
        <f aca="false">4_Scorer_A!G195</f>
        <v/>
      </c>
      <c r="E195" s="18" t="str">
        <f aca="false">4_Scorer_B!G195</f>
        <v/>
      </c>
      <c r="F195" s="18" t="str">
        <f aca="false">4_Scorer_C!G195</f>
        <v/>
      </c>
      <c r="G195" s="18" t="str">
        <f aca="false">IF(COUNT(D195:F195)=3,AVERAGE(D195:F195),"")</f>
        <v/>
      </c>
      <c r="H195" s="18" t="str">
        <f aca="false">IF(COUNT(D195:F195)=3,MAX(D195:F195)-MIN(D195:F195),"")</f>
        <v/>
      </c>
      <c r="I195" s="18" t="str">
        <f aca="false">IF(H195="","",IF(H195&gt;1,"RECONCILE","OK"))</f>
        <v/>
      </c>
      <c r="J195" s="18" t="str">
        <f aca="false">IF(G195="","",G195)</f>
        <v/>
      </c>
    </row>
    <row r="196" customFormat="false" ht="15" hidden="false" customHeight="false" outlineLevel="0" collapsed="false">
      <c r="A196" s="18" t="s">
        <v>259</v>
      </c>
      <c r="B196" s="18" t="n">
        <v>5</v>
      </c>
      <c r="C196" s="18" t="s">
        <v>313</v>
      </c>
      <c r="D196" s="18" t="str">
        <f aca="false">4_Scorer_A!G196</f>
        <v/>
      </c>
      <c r="E196" s="18" t="str">
        <f aca="false">4_Scorer_B!G196</f>
        <v/>
      </c>
      <c r="F196" s="18" t="str">
        <f aca="false">4_Scorer_C!G196</f>
        <v/>
      </c>
      <c r="G196" s="18" t="str">
        <f aca="false">IF(COUNT(D196:F196)=3,AVERAGE(D196:F196),"")</f>
        <v/>
      </c>
      <c r="H196" s="18" t="str">
        <f aca="false">IF(COUNT(D196:F196)=3,MAX(D196:F196)-MIN(D196:F196),"")</f>
        <v/>
      </c>
      <c r="I196" s="18" t="str">
        <f aca="false">IF(H196="","",IF(H196&gt;1,"RECONCILE","OK"))</f>
        <v/>
      </c>
      <c r="J196" s="18" t="str">
        <f aca="false">IF(G196="","",G196)</f>
        <v/>
      </c>
    </row>
    <row r="197" customFormat="false" ht="15" hidden="false" customHeight="false" outlineLevel="0" collapsed="false">
      <c r="A197" s="18" t="s">
        <v>259</v>
      </c>
      <c r="B197" s="18" t="n">
        <v>5</v>
      </c>
      <c r="C197" s="18" t="s">
        <v>314</v>
      </c>
      <c r="D197" s="18" t="str">
        <f aca="false">4_Scorer_A!G197</f>
        <v/>
      </c>
      <c r="E197" s="18" t="str">
        <f aca="false">4_Scorer_B!G197</f>
        <v/>
      </c>
      <c r="F197" s="18" t="str">
        <f aca="false">4_Scorer_C!G197</f>
        <v/>
      </c>
      <c r="G197" s="18" t="str">
        <f aca="false">IF(COUNT(D197:F197)=3,AVERAGE(D197:F197),"")</f>
        <v/>
      </c>
      <c r="H197" s="18" t="str">
        <f aca="false">IF(COUNT(D197:F197)=3,MAX(D197:F197)-MIN(D197:F197),"")</f>
        <v/>
      </c>
      <c r="I197" s="18" t="str">
        <f aca="false">IF(H197="","",IF(H197&gt;1,"RECONCILE","OK"))</f>
        <v/>
      </c>
      <c r="J197" s="18" t="str">
        <f aca="false">IF(G197="","",G197)</f>
        <v/>
      </c>
    </row>
    <row r="198" customFormat="false" ht="15" hidden="false" customHeight="false" outlineLevel="0" collapsed="false">
      <c r="A198" s="18" t="s">
        <v>263</v>
      </c>
      <c r="B198" s="18" t="n">
        <v>5</v>
      </c>
      <c r="C198" s="18" t="s">
        <v>311</v>
      </c>
      <c r="D198" s="18" t="str">
        <f aca="false">4_Scorer_A!G198</f>
        <v/>
      </c>
      <c r="E198" s="18" t="str">
        <f aca="false">4_Scorer_B!G198</f>
        <v/>
      </c>
      <c r="F198" s="18" t="str">
        <f aca="false">4_Scorer_C!G198</f>
        <v/>
      </c>
      <c r="G198" s="18" t="str">
        <f aca="false">IF(COUNT(D198:F198)=3,AVERAGE(D198:F198),"")</f>
        <v/>
      </c>
      <c r="H198" s="18" t="str">
        <f aca="false">IF(COUNT(D198:F198)=3,MAX(D198:F198)-MIN(D198:F198),"")</f>
        <v/>
      </c>
      <c r="I198" s="18" t="str">
        <f aca="false">IF(H198="","",IF(H198&gt;1,"RECONCILE","OK"))</f>
        <v/>
      </c>
      <c r="J198" s="18" t="str">
        <f aca="false">IF(G198="","",G198)</f>
        <v/>
      </c>
    </row>
    <row r="199" customFormat="false" ht="15" hidden="false" customHeight="false" outlineLevel="0" collapsed="false">
      <c r="A199" s="18" t="s">
        <v>263</v>
      </c>
      <c r="B199" s="18" t="n">
        <v>5</v>
      </c>
      <c r="C199" s="18" t="s">
        <v>312</v>
      </c>
      <c r="D199" s="18" t="str">
        <f aca="false">4_Scorer_A!G199</f>
        <v/>
      </c>
      <c r="E199" s="18" t="str">
        <f aca="false">4_Scorer_B!G199</f>
        <v/>
      </c>
      <c r="F199" s="18" t="str">
        <f aca="false">4_Scorer_C!G199</f>
        <v/>
      </c>
      <c r="G199" s="18" t="str">
        <f aca="false">IF(COUNT(D199:F199)=3,AVERAGE(D199:F199),"")</f>
        <v/>
      </c>
      <c r="H199" s="18" t="str">
        <f aca="false">IF(COUNT(D199:F199)=3,MAX(D199:F199)-MIN(D199:F199),"")</f>
        <v/>
      </c>
      <c r="I199" s="18" t="str">
        <f aca="false">IF(H199="","",IF(H199&gt;1,"RECONCILE","OK"))</f>
        <v/>
      </c>
      <c r="J199" s="18" t="str">
        <f aca="false">IF(G199="","",G199)</f>
        <v/>
      </c>
    </row>
    <row r="200" customFormat="false" ht="15" hidden="false" customHeight="false" outlineLevel="0" collapsed="false">
      <c r="A200" s="18" t="s">
        <v>263</v>
      </c>
      <c r="B200" s="18" t="n">
        <v>5</v>
      </c>
      <c r="C200" s="18" t="s">
        <v>313</v>
      </c>
      <c r="D200" s="18" t="str">
        <f aca="false">4_Scorer_A!G200</f>
        <v/>
      </c>
      <c r="E200" s="18" t="str">
        <f aca="false">4_Scorer_B!G200</f>
        <v/>
      </c>
      <c r="F200" s="18" t="str">
        <f aca="false">4_Scorer_C!G200</f>
        <v/>
      </c>
      <c r="G200" s="18" t="str">
        <f aca="false">IF(COUNT(D200:F200)=3,AVERAGE(D200:F200),"")</f>
        <v/>
      </c>
      <c r="H200" s="18" t="str">
        <f aca="false">IF(COUNT(D200:F200)=3,MAX(D200:F200)-MIN(D200:F200),"")</f>
        <v/>
      </c>
      <c r="I200" s="18" t="str">
        <f aca="false">IF(H200="","",IF(H200&gt;1,"RECONCILE","OK"))</f>
        <v/>
      </c>
      <c r="J200" s="18" t="str">
        <f aca="false">IF(G200="","",G200)</f>
        <v/>
      </c>
    </row>
    <row r="201" customFormat="false" ht="15" hidden="false" customHeight="false" outlineLevel="0" collapsed="false">
      <c r="A201" s="18" t="s">
        <v>263</v>
      </c>
      <c r="B201" s="18" t="n">
        <v>5</v>
      </c>
      <c r="C201" s="18" t="s">
        <v>314</v>
      </c>
      <c r="D201" s="18" t="str">
        <f aca="false">4_Scorer_A!G201</f>
        <v/>
      </c>
      <c r="E201" s="18" t="str">
        <f aca="false">4_Scorer_B!G201</f>
        <v/>
      </c>
      <c r="F201" s="18" t="str">
        <f aca="false">4_Scorer_C!G201</f>
        <v/>
      </c>
      <c r="G201" s="18" t="str">
        <f aca="false">IF(COUNT(D201:F201)=3,AVERAGE(D201:F201),"")</f>
        <v/>
      </c>
      <c r="H201" s="18" t="str">
        <f aca="false">IF(COUNT(D201:F201)=3,MAX(D201:F201)-MIN(D201:F201),"")</f>
        <v/>
      </c>
      <c r="I201" s="18" t="str">
        <f aca="false">IF(H201="","",IF(H201&gt;1,"RECONCILE","OK"))</f>
        <v/>
      </c>
      <c r="J201" s="18" t="str">
        <f aca="false">IF(G201="","",G201)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4" min="3" style="0" width="21"/>
    <col collapsed="false" customWidth="true" hidden="false" outlineLevel="0" max="6" min="5" style="0" width="24"/>
  </cols>
  <sheetData>
    <row r="1" customFormat="false" ht="30" hidden="false" customHeight="true" outlineLevel="0" collapsed="false">
      <c r="A1" s="6" t="s">
        <v>327</v>
      </c>
      <c r="B1" s="6"/>
      <c r="C1" s="6"/>
      <c r="D1" s="6"/>
      <c r="E1" s="6"/>
      <c r="F1" s="6"/>
    </row>
    <row r="3" customFormat="false" ht="15" hidden="false" customHeight="false" outlineLevel="0" collapsed="false">
      <c r="A3" s="0" t="s">
        <v>47</v>
      </c>
      <c r="B3" s="0" t="s">
        <v>311</v>
      </c>
      <c r="C3" s="0" t="s">
        <v>312</v>
      </c>
      <c r="D3" s="0" t="s">
        <v>313</v>
      </c>
      <c r="E3" s="0" t="s">
        <v>314</v>
      </c>
      <c r="F3" s="0" t="s">
        <v>328</v>
      </c>
    </row>
    <row r="4" customFormat="false" ht="15" hidden="false" customHeight="false" outlineLevel="0" collapsed="false">
      <c r="A4" s="18" t="n">
        <v>1</v>
      </c>
      <c r="B4" s="19" t="str">
        <f aca="false">IFERROR(AVERAGEIFS(5_Reconciled!$J:$J,5_Reconciled!$B:$B,$A4,5_Reconciled!$C:$C,B$3),"")</f>
        <v/>
      </c>
      <c r="C4" s="19" t="str">
        <f aca="false">IFERROR(AVERAGEIFS(5_Reconciled!$J:$J,5_Reconciled!$B:$B,$A4,5_Reconciled!$C:$C,C$3),"")</f>
        <v/>
      </c>
      <c r="D4" s="19" t="str">
        <f aca="false">IFERROR(AVERAGEIFS(5_Reconciled!$J:$J,5_Reconciled!$B:$B,$A4,5_Reconciled!$C:$C,D$3),"")</f>
        <v/>
      </c>
      <c r="E4" s="19" t="str">
        <f aca="false">IFERROR(AVERAGEIFS(5_Reconciled!$J:$J,5_Reconciled!$B:$B,$A4,5_Reconciled!$C:$C,E$3),"")</f>
        <v/>
      </c>
      <c r="F4" s="19" t="str">
        <f aca="false">IFERROR(E4-MAX(B4:D4),"")</f>
        <v/>
      </c>
    </row>
    <row r="5" customFormat="false" ht="15" hidden="false" customHeight="false" outlineLevel="0" collapsed="false">
      <c r="A5" s="18" t="n">
        <v>2</v>
      </c>
      <c r="B5" s="19" t="str">
        <f aca="false">IFERROR(AVERAGEIFS(5_Reconciled!$J:$J,5_Reconciled!$B:$B,$A5,5_Reconciled!$C:$C,B$3),"")</f>
        <v/>
      </c>
      <c r="C5" s="19" t="str">
        <f aca="false">IFERROR(AVERAGEIFS(5_Reconciled!$J:$J,5_Reconciled!$B:$B,$A5,5_Reconciled!$C:$C,C$3),"")</f>
        <v/>
      </c>
      <c r="D5" s="19" t="str">
        <f aca="false">IFERROR(AVERAGEIFS(5_Reconciled!$J:$J,5_Reconciled!$B:$B,$A5,5_Reconciled!$C:$C,D$3),"")</f>
        <v/>
      </c>
      <c r="E5" s="19" t="str">
        <f aca="false">IFERROR(AVERAGEIFS(5_Reconciled!$J:$J,5_Reconciled!$B:$B,$A5,5_Reconciled!$C:$C,E$3),"")</f>
        <v/>
      </c>
      <c r="F5" s="19" t="str">
        <f aca="false">IFERROR(E5-MAX(B5:D5),"")</f>
        <v/>
      </c>
    </row>
    <row r="6" customFormat="false" ht="15" hidden="false" customHeight="false" outlineLevel="0" collapsed="false">
      <c r="A6" s="18" t="n">
        <v>3</v>
      </c>
      <c r="B6" s="19" t="str">
        <f aca="false">IFERROR(AVERAGEIFS(5_Reconciled!$J:$J,5_Reconciled!$B:$B,$A6,5_Reconciled!$C:$C,B$3),"")</f>
        <v/>
      </c>
      <c r="C6" s="19" t="str">
        <f aca="false">IFERROR(AVERAGEIFS(5_Reconciled!$J:$J,5_Reconciled!$B:$B,$A6,5_Reconciled!$C:$C,C$3),"")</f>
        <v/>
      </c>
      <c r="D6" s="19" t="str">
        <f aca="false">IFERROR(AVERAGEIFS(5_Reconciled!$J:$J,5_Reconciled!$B:$B,$A6,5_Reconciled!$C:$C,D$3),"")</f>
        <v/>
      </c>
      <c r="E6" s="19" t="str">
        <f aca="false">IFERROR(AVERAGEIFS(5_Reconciled!$J:$J,5_Reconciled!$B:$B,$A6,5_Reconciled!$C:$C,E$3),"")</f>
        <v/>
      </c>
      <c r="F6" s="19" t="str">
        <f aca="false">IFERROR(E6-MAX(B6:D6),"")</f>
        <v/>
      </c>
    </row>
    <row r="7" customFormat="false" ht="15" hidden="false" customHeight="false" outlineLevel="0" collapsed="false">
      <c r="A7" s="18" t="n">
        <v>4</v>
      </c>
      <c r="B7" s="19" t="str">
        <f aca="false">IFERROR(AVERAGEIFS(5_Reconciled!$J:$J,5_Reconciled!$B:$B,$A7,5_Reconciled!$C:$C,B$3),"")</f>
        <v/>
      </c>
      <c r="C7" s="19" t="str">
        <f aca="false">IFERROR(AVERAGEIFS(5_Reconciled!$J:$J,5_Reconciled!$B:$B,$A7,5_Reconciled!$C:$C,C$3),"")</f>
        <v/>
      </c>
      <c r="D7" s="19" t="str">
        <f aca="false">IFERROR(AVERAGEIFS(5_Reconciled!$J:$J,5_Reconciled!$B:$B,$A7,5_Reconciled!$C:$C,D$3),"")</f>
        <v/>
      </c>
      <c r="E7" s="19" t="str">
        <f aca="false">IFERROR(AVERAGEIFS(5_Reconciled!$J:$J,5_Reconciled!$B:$B,$A7,5_Reconciled!$C:$C,E$3),"")</f>
        <v/>
      </c>
      <c r="F7" s="19" t="str">
        <f aca="false">IFERROR(E7-MAX(B7:D7),"")</f>
        <v/>
      </c>
    </row>
    <row r="8" customFormat="false" ht="15" hidden="false" customHeight="false" outlineLevel="0" collapsed="false">
      <c r="A8" s="18" t="n">
        <v>5</v>
      </c>
      <c r="B8" s="19" t="str">
        <f aca="false">IFERROR(AVERAGEIFS(5_Reconciled!$J:$J,5_Reconciled!$B:$B,$A8,5_Reconciled!$C:$C,B$3),"")</f>
        <v/>
      </c>
      <c r="C8" s="19" t="str">
        <f aca="false">IFERROR(AVERAGEIFS(5_Reconciled!$J:$J,5_Reconciled!$B:$B,$A8,5_Reconciled!$C:$C,C$3),"")</f>
        <v/>
      </c>
      <c r="D8" s="19" t="str">
        <f aca="false">IFERROR(AVERAGEIFS(5_Reconciled!$J:$J,5_Reconciled!$B:$B,$A8,5_Reconciled!$C:$C,D$3),"")</f>
        <v/>
      </c>
      <c r="E8" s="19" t="str">
        <f aca="false">IFERROR(AVERAGEIFS(5_Reconciled!$J:$J,5_Reconciled!$B:$B,$A8,5_Reconciled!$C:$C,E$3),"")</f>
        <v/>
      </c>
      <c r="F8" s="19" t="str">
        <f aca="false">IFERROR(E8-MAX(B8:D8),"")</f>
        <v/>
      </c>
    </row>
    <row r="9" customFormat="false" ht="15" hidden="false" customHeight="false" outlineLevel="0" collapsed="false">
      <c r="A9" s="20" t="s">
        <v>329</v>
      </c>
      <c r="B9" s="21" t="str">
        <f aca="false">IFERROR(AVERAGE(B4:B8),"")</f>
        <v/>
      </c>
      <c r="C9" s="21" t="str">
        <f aca="false">IFERROR(AVERAGE(C4:C8),"")</f>
        <v/>
      </c>
      <c r="D9" s="21" t="str">
        <f aca="false">IFERROR(AVERAGE(D4:D8),"")</f>
        <v/>
      </c>
      <c r="E9" s="21" t="str">
        <f aca="false">IFERROR(AVERAGE(E4:E8),"")</f>
        <v/>
      </c>
      <c r="F9" s="21" t="str">
        <f aca="false">IFERROR(E9-MAX(B9:D9),"")</f>
        <v/>
      </c>
    </row>
    <row r="11" customFormat="false" ht="23.85" hidden="false" customHeight="true" outlineLevel="0" collapsed="false">
      <c r="A11" s="22" t="s">
        <v>330</v>
      </c>
      <c r="B11" s="22"/>
      <c r="C11" s="22"/>
      <c r="D11" s="22"/>
      <c r="E11" s="22"/>
      <c r="F11" s="22"/>
    </row>
  </sheetData>
  <mergeCells count="1">
    <mergeCell ref="A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2026-09-26T20:08:50Z</dcterms:created>
  <dc:creator>openpyxl</dc:creator>
  <dc:description/>
  <dc:language>en-US</dc:language>
  <cp:lastModifiedBy/>
  <dcterms:modified xsi:type="dcterms:W3CDTF">2026-09-26T20:08:51Z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